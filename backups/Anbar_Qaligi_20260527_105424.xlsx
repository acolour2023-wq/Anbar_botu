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Orxan Anbar " sheetId="1" state="visible" r:id="rId1"/>
  </sheets>
  <definedNames>
    <definedName name="_xlnm._FilterDatabase" localSheetId="0" hidden="1">'Orxan Anbar '!$A$1:$R$1598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_ ;\-#,##0.00\ "/>
  </numFmts>
  <fonts count="8">
    <font>
      <name val="Tahoma"/>
      <color rgb="FF000000"/>
      <sz val="8"/>
    </font>
    <font>
      <name val="Segoe UI"/>
      <color rgb="FF000000"/>
      <sz val="8"/>
    </font>
    <font>
      <name val="Calibri Light"/>
      <charset val="204"/>
      <family val="2"/>
      <color rgb="FF000000"/>
      <sz val="8"/>
      <scheme val="major"/>
    </font>
    <font>
      <name val="Calibri Light"/>
      <charset val="204"/>
      <family val="2"/>
      <color rgb="FF000000"/>
      <sz val="15"/>
      <scheme val="major"/>
    </font>
    <font>
      <name val="Calibri Light"/>
      <charset val="204"/>
      <family val="2"/>
      <color rgb="FFFF0000"/>
      <sz val="8"/>
      <scheme val="major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</fonts>
  <fills count="9">
    <fill>
      <patternFill/>
    </fill>
    <fill>
      <patternFill patternType="gray125"/>
    </fill>
    <fill>
      <patternFill patternType="solid">
        <fgColor rgb="FFF0F1F2"/>
        <bgColor indexed="8"/>
      </patternFill>
    </fill>
    <fill>
      <patternFill patternType="solid">
        <fgColor rgb="FFF2F8FF"/>
        <bgColor indexed="8"/>
      </patternFill>
    </fill>
    <fill>
      <patternFill patternType="solid">
        <fgColor rgb="FFF5FCF4"/>
        <bgColor indexed="8"/>
      </patternFill>
    </fill>
    <fill>
      <patternFill patternType="solid">
        <fgColor rgb="FFEAEBEE"/>
        <bgColor indexed="8"/>
      </patternFill>
    </fill>
    <fill>
      <patternFill patternType="solid">
        <fgColor rgb="FFFFFF00"/>
        <bgColor indexed="8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2" borderId="0" applyAlignment="1">
      <alignment horizontal="left" vertical="top" wrapText="1"/>
    </xf>
  </cellStyleXfs>
  <cellXfs count="30">
    <xf numFmtId="0" fontId="1" fillId="2" borderId="0" applyAlignment="1" pivotButton="0" quotePrefix="0" xfId="0">
      <alignment horizontal="left" vertical="top" wrapText="1"/>
    </xf>
    <xf numFmtId="0" fontId="0" fillId="0" borderId="0" pivotButton="0" quotePrefix="0" xfId="0"/>
    <xf numFmtId="0" fontId="2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39" fontId="2" fillId="3" borderId="1" applyAlignment="1" pivotButton="0" quotePrefix="0" xfId="0">
      <alignment horizontal="right" vertical="top" wrapText="1"/>
    </xf>
    <xf numFmtId="164" fontId="2" fillId="2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39" fontId="2" fillId="4" borderId="1" applyAlignment="1" pivotButton="0" quotePrefix="0" xfId="0">
      <alignment horizontal="right" vertical="top" wrapText="1"/>
    </xf>
    <xf numFmtId="164" fontId="4" fillId="2" borderId="1" applyAlignment="1" pivotButton="0" quotePrefix="0" xfId="0">
      <alignment horizontal="left" vertical="top" wrapText="1"/>
    </xf>
    <xf numFmtId="37" fontId="2" fillId="4" borderId="1" applyAlignment="1" pivotButton="0" quotePrefix="0" xfId="0">
      <alignment horizontal="right" vertical="top" wrapText="1"/>
    </xf>
    <xf numFmtId="37" fontId="2" fillId="3" borderId="1" applyAlignment="1" pivotButton="0" quotePrefix="0" xfId="0">
      <alignment horizontal="right" vertical="top" wrapText="1"/>
    </xf>
    <xf numFmtId="39" fontId="4" fillId="6" borderId="1" applyAlignment="1" pivotButton="0" quotePrefix="0" xfId="0">
      <alignment horizontal="right" vertical="top" wrapText="1"/>
    </xf>
    <xf numFmtId="0" fontId="5" fillId="7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left" vertical="center"/>
    </xf>
    <xf numFmtId="39" fontId="6" fillId="3" borderId="2" applyAlignment="1" pivotButton="0" quotePrefix="0" xfId="0">
      <alignment horizontal="center" vertical="center"/>
    </xf>
    <xf numFmtId="164" fontId="6" fillId="2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39" fontId="6" fillId="4" borderId="2" applyAlignment="1" pivotButton="0" quotePrefix="0" xfId="0">
      <alignment horizontal="center" vertical="center"/>
    </xf>
    <xf numFmtId="37" fontId="6" fillId="4" borderId="2" applyAlignment="1" pivotButton="0" quotePrefix="0" xfId="0">
      <alignment horizontal="center" vertical="center"/>
    </xf>
    <xf numFmtId="37" fontId="6" fillId="3" borderId="2" applyAlignment="1" pivotButton="0" quotePrefix="0" xfId="0">
      <alignment horizontal="center" vertical="center"/>
    </xf>
    <xf numFmtId="39" fontId="6" fillId="6" borderId="2" applyAlignment="1" pivotButton="0" quotePrefix="0" xfId="0">
      <alignment horizontal="center" vertical="center"/>
    </xf>
    <xf numFmtId="0" fontId="0" fillId="8" borderId="2" pivotButton="0" quotePrefix="0" xfId="0"/>
    <xf numFmtId="0" fontId="7" fillId="8" borderId="2" applyAlignment="1" pivotButton="0" quotePrefix="0" xfId="0">
      <alignment horizontal="right" vertical="center"/>
    </xf>
    <xf numFmtId="0" fontId="7" fillId="8" borderId="2" applyAlignment="1" pivotButton="0" quotePrefix="0" xfId="0">
      <alignment horizontal="center"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R1599"/>
  <sheetViews>
    <sheetView showGridLines="1" tabSelected="1" showOutlineSymbols="0" workbookViewId="0">
      <selection activeCell="P1603" sqref="P1603"/>
    </sheetView>
  </sheetViews>
  <sheetFormatPr baseColWidth="8" defaultColWidth="14.140625" defaultRowHeight="15" customHeight="1"/>
  <cols>
    <col width="12" customWidth="1" style="1" min="1" max="1"/>
    <col width="19" bestFit="1" customWidth="1" style="1" min="2" max="2"/>
    <col width="17" customWidth="1" style="1" min="3" max="3"/>
    <col width="70" customWidth="1" style="1" min="4" max="4"/>
    <col width="12" bestFit="1" customWidth="1" style="1" min="5" max="5"/>
    <col hidden="1" width="13" customWidth="1" style="1" min="6" max="6"/>
    <col hidden="1" width="26" customWidth="1" style="1" min="7" max="7"/>
    <col hidden="1" width="12" customWidth="1" style="1" min="8" max="8"/>
    <col hidden="1" width="12" customWidth="1" style="1" min="9" max="9"/>
    <col hidden="1" width="12" customWidth="1" style="1" min="10" max="10"/>
    <col hidden="1" width="14" customWidth="1" style="1" min="11" max="11"/>
    <col hidden="1" width="14" customWidth="1" style="1" min="12" max="12"/>
    <col hidden="1" width="14" customWidth="1" style="1" min="13" max="13"/>
    <col width="16" customWidth="1" style="1" min="14" max="14"/>
    <col width="14" customWidth="1" style="1" min="15" max="15"/>
    <col width="14" customWidth="1" style="1" min="16" max="16"/>
    <col width="16" customWidth="1" style="1" min="17" max="17"/>
    <col width="12" customWidth="1" style="1" min="18" max="18"/>
  </cols>
  <sheetData>
    <row r="1" ht="28" customHeight="1" s="1">
      <c r="A1" s="15" t="inlineStr">
        <is>
          <t>Kod</t>
        </is>
      </c>
      <c r="B1" s="15" t="inlineStr">
        <is>
          <t>Brend</t>
        </is>
      </c>
      <c r="C1" s="15" t="inlineStr">
        <is>
          <t>Barkod</t>
        </is>
      </c>
      <c r="D1" s="15" t="inlineStr">
        <is>
          <t xml:space="preserve"> Məhsulun Adi</t>
        </is>
      </c>
      <c r="E1" s="15" t="inlineStr">
        <is>
          <t xml:space="preserve"> Qiymət</t>
        </is>
      </c>
      <c r="F1" s="15" t="inlineStr">
        <is>
          <t>Qutu Sayi</t>
        </is>
      </c>
      <c r="G1" s="15" t="inlineStr">
        <is>
          <t>Period Sonu Ehtiyatlar</t>
        </is>
      </c>
      <c r="H1" s="15" t="n"/>
      <c r="I1" s="15" t="n"/>
      <c r="J1" s="15" t="n"/>
      <c r="K1" s="15" t="n"/>
      <c r="L1" s="15" t="n"/>
      <c r="M1" s="15" t="n"/>
      <c r="N1" s="15" t="inlineStr">
        <is>
          <t>Anbar qaligi</t>
        </is>
      </c>
      <c r="O1" s="15" t="inlineStr">
        <is>
          <t>Yeni Sayim</t>
        </is>
      </c>
      <c r="P1" s="15" t="inlineStr">
        <is>
          <t>Say Ferqi</t>
        </is>
      </c>
      <c r="Q1" s="15" t="inlineStr">
        <is>
          <t>Qiymet Ferqi</t>
        </is>
      </c>
      <c r="R1" s="15" t="inlineStr">
        <is>
          <t>Operator</t>
        </is>
      </c>
    </row>
    <row r="2" ht="20" customHeight="1" s="1">
      <c r="A2" s="16" t="inlineStr">
        <is>
          <t>12634</t>
        </is>
      </c>
      <c r="B2" s="17" t="inlineStr">
        <is>
          <t>Slavkov</t>
        </is>
      </c>
      <c r="C2" s="16" t="inlineStr">
        <is>
          <t>3800046901012</t>
        </is>
      </c>
      <c r="D2" s="17" t="inlineStr">
        <is>
          <t>İMPO ASETON</t>
        </is>
      </c>
      <c r="E2" s="18" t="n">
        <v>0.9</v>
      </c>
      <c r="F2" s="18" t="n">
        <v>56</v>
      </c>
      <c r="G2" s="18" t="n">
        <v>3091</v>
      </c>
      <c r="H2" s="18" t="n"/>
      <c r="I2" s="18" t="n"/>
      <c r="J2" s="18" t="n"/>
      <c r="K2" s="19" t="n"/>
      <c r="L2" s="19" t="n"/>
      <c r="M2" s="20" t="n"/>
      <c r="N2" s="20" t="n">
        <v>50</v>
      </c>
      <c r="O2" s="20" t="n"/>
      <c r="P2" s="20">
        <f>O2-N2</f>
        <v/>
      </c>
      <c r="Q2" s="20">
        <f>P2*E2</f>
        <v/>
      </c>
      <c r="R2" s="20" t="n"/>
    </row>
    <row r="3" ht="20" customHeight="1" s="1">
      <c r="A3" s="21" t="inlineStr">
        <is>
          <t>12683</t>
        </is>
      </c>
      <c r="B3" s="22" t="inlineStr">
        <is>
          <t>Solvex</t>
        </is>
      </c>
      <c r="C3" s="21" t="inlineStr">
        <is>
          <t>3800708230368</t>
        </is>
      </c>
      <c r="D3" s="22" t="inlineStr">
        <is>
          <t>Miss Magic 6.1  Тьмно пепелно рус</t>
        </is>
      </c>
      <c r="E3" s="23" t="n">
        <v>3.2</v>
      </c>
      <c r="F3" s="23" t="n">
        <v>20</v>
      </c>
      <c r="G3" s="23" t="n">
        <v>152</v>
      </c>
      <c r="H3" s="23" t="n"/>
      <c r="I3" s="23" t="n"/>
      <c r="J3" s="23" t="n"/>
      <c r="K3" s="19" t="n"/>
      <c r="L3" s="19" t="n"/>
      <c r="M3" s="20" t="n"/>
      <c r="N3" s="20" t="n">
        <v>50</v>
      </c>
      <c r="O3" s="20" t="n"/>
      <c r="P3" s="20">
        <f>O3-N3</f>
        <v/>
      </c>
      <c r="Q3" s="20">
        <f>P3*E3</f>
        <v/>
      </c>
      <c r="R3" s="20" t="n"/>
    </row>
    <row r="4" ht="20" customHeight="1" s="1">
      <c r="A4" s="16" t="inlineStr">
        <is>
          <t>12674</t>
        </is>
      </c>
      <c r="B4" s="17" t="inlineStr">
        <is>
          <t>Solvex</t>
        </is>
      </c>
      <c r="C4" s="16" t="inlineStr">
        <is>
          <t>3800708230375</t>
        </is>
      </c>
      <c r="D4" s="17" t="inlineStr">
        <is>
          <t>Miss Magic 8.1  Светло пепелно рус</t>
        </is>
      </c>
      <c r="E4" s="18" t="n">
        <v>3.2</v>
      </c>
      <c r="F4" s="18" t="n">
        <v>20</v>
      </c>
      <c r="G4" s="18" t="n">
        <v>113</v>
      </c>
      <c r="H4" s="18" t="n"/>
      <c r="I4" s="18" t="n"/>
      <c r="J4" s="18" t="n"/>
      <c r="K4" s="19" t="n"/>
      <c r="L4" s="19" t="n"/>
      <c r="M4" s="20" t="n"/>
      <c r="N4" s="20" t="n">
        <v>50</v>
      </c>
      <c r="O4" s="20" t="n"/>
      <c r="P4" s="20">
        <f>O4-N4</f>
        <v/>
      </c>
      <c r="Q4" s="20">
        <f>P4*E4</f>
        <v/>
      </c>
      <c r="R4" s="20" t="n"/>
    </row>
    <row r="5" ht="20" customHeight="1" s="1">
      <c r="A5" s="21" t="inlineStr">
        <is>
          <t>12691</t>
        </is>
      </c>
      <c r="B5" s="22" t="inlineStr">
        <is>
          <t>Solvex</t>
        </is>
      </c>
      <c r="C5" s="21" t="inlineStr">
        <is>
          <t>3800708230382</t>
        </is>
      </c>
      <c r="D5" s="22" t="inlineStr">
        <is>
          <t>Miss Magic 9.1  Блондин пепельный</t>
        </is>
      </c>
      <c r="E5" s="23" t="n">
        <v>3.2</v>
      </c>
      <c r="F5" s="23" t="n">
        <v>20</v>
      </c>
      <c r="G5" s="23" t="n">
        <v>161</v>
      </c>
      <c r="H5" s="23" t="n">
        <v>160</v>
      </c>
      <c r="I5" s="23" t="n">
        <v>1</v>
      </c>
      <c r="J5" s="23" t="n"/>
      <c r="K5" s="19">
        <f>H5+I5+J5</f>
        <v/>
      </c>
      <c r="L5" s="19">
        <f>K5-G5</f>
        <v/>
      </c>
      <c r="M5" s="20">
        <f>L5*E5</f>
        <v/>
      </c>
      <c r="N5" s="20" t="n">
        <v>50</v>
      </c>
      <c r="O5" s="20" t="n"/>
      <c r="P5" s="20">
        <f>O5-N5</f>
        <v/>
      </c>
      <c r="Q5" s="20">
        <f>P5*E5</f>
        <v/>
      </c>
      <c r="R5" s="20" t="n"/>
    </row>
    <row r="6" ht="20" customHeight="1" s="1">
      <c r="A6" s="16" t="inlineStr">
        <is>
          <t>12688</t>
        </is>
      </c>
      <c r="B6" s="17" t="inlineStr">
        <is>
          <t>Solvex</t>
        </is>
      </c>
      <c r="C6" s="16" t="inlineStr">
        <is>
          <t>3800708230306</t>
        </is>
      </c>
      <c r="D6" s="17" t="inlineStr">
        <is>
          <t>Miss-Magic 3.0 нат.темно-корuч</t>
        </is>
      </c>
      <c r="E6" s="18" t="n">
        <v>3.2</v>
      </c>
      <c r="F6" s="18" t="n">
        <v>20</v>
      </c>
      <c r="G6" s="18" t="n">
        <v>116</v>
      </c>
      <c r="H6" s="18" t="n">
        <v>116</v>
      </c>
      <c r="I6" s="18" t="n"/>
      <c r="J6" s="18" t="n"/>
      <c r="K6" s="19">
        <f>H6+I6+J6</f>
        <v/>
      </c>
      <c r="L6" s="19">
        <f>K6-G6</f>
        <v/>
      </c>
      <c r="M6" s="20">
        <f>L6*E6</f>
        <v/>
      </c>
      <c r="N6" s="20" t="n">
        <v>50</v>
      </c>
      <c r="O6" s="20" t="n"/>
      <c r="P6" s="20">
        <f>O6-N6</f>
        <v/>
      </c>
      <c r="Q6" s="20">
        <f>P6*E6</f>
        <v/>
      </c>
      <c r="R6" s="20" t="n"/>
    </row>
    <row r="7" ht="20" customHeight="1" s="1">
      <c r="A7" s="21" t="inlineStr">
        <is>
          <t>12666</t>
        </is>
      </c>
      <c r="B7" s="22" t="inlineStr">
        <is>
          <t>Solvex</t>
        </is>
      </c>
      <c r="C7" s="21" t="inlineStr">
        <is>
          <t>3800708230313</t>
        </is>
      </c>
      <c r="D7" s="22" t="inlineStr">
        <is>
          <t>Miss-Magic 4.0 темно-корuч</t>
        </is>
      </c>
      <c r="E7" s="23" t="n">
        <v>3.2</v>
      </c>
      <c r="F7" s="23" t="n">
        <v>20</v>
      </c>
      <c r="G7" s="23" t="n">
        <v>199</v>
      </c>
      <c r="H7" s="23" t="n"/>
      <c r="I7" s="23" t="n"/>
      <c r="J7" s="23" t="n"/>
      <c r="K7" s="19" t="n"/>
      <c r="L7" s="19" t="n"/>
      <c r="M7" s="20" t="n"/>
      <c r="N7" s="20" t="n">
        <v>50</v>
      </c>
      <c r="O7" s="20" t="n"/>
      <c r="P7" s="20">
        <f>O7-N7</f>
        <v/>
      </c>
      <c r="Q7" s="20">
        <f>P7*E7</f>
        <v/>
      </c>
      <c r="R7" s="20" t="n"/>
    </row>
    <row r="8" ht="20" customHeight="1" s="1">
      <c r="A8" s="16" t="inlineStr">
        <is>
          <t>12665</t>
        </is>
      </c>
      <c r="B8" s="17" t="inlineStr">
        <is>
          <t>Solvex</t>
        </is>
      </c>
      <c r="C8" s="16" t="inlineStr">
        <is>
          <t>3800708230320</t>
        </is>
      </c>
      <c r="D8" s="17" t="inlineStr">
        <is>
          <t>Miss Magic 5.0 нат.светло-корuч</t>
        </is>
      </c>
      <c r="E8" s="18" t="n">
        <v>3.2</v>
      </c>
      <c r="F8" s="18" t="n">
        <v>20</v>
      </c>
      <c r="G8" s="18" t="n">
        <v>143</v>
      </c>
      <c r="H8" s="18" t="n">
        <v>143</v>
      </c>
      <c r="I8" s="18" t="n"/>
      <c r="J8" s="18" t="n"/>
      <c r="K8" s="19">
        <f>H8+I8+J8</f>
        <v/>
      </c>
      <c r="L8" s="19">
        <f>K8-G8</f>
        <v/>
      </c>
      <c r="M8" s="20">
        <f>L8*E8</f>
        <v/>
      </c>
      <c r="N8" s="20" t="n">
        <v>50</v>
      </c>
      <c r="O8" s="20" t="n"/>
      <c r="P8" s="20">
        <f>O8-N8</f>
        <v/>
      </c>
      <c r="Q8" s="20">
        <f>P8*E8</f>
        <v/>
      </c>
      <c r="R8" s="20" t="n"/>
    </row>
    <row r="9" ht="20" customHeight="1" s="1">
      <c r="A9" s="21" t="inlineStr">
        <is>
          <t>12684</t>
        </is>
      </c>
      <c r="B9" s="22" t="inlineStr">
        <is>
          <t>Solvex</t>
        </is>
      </c>
      <c r="C9" s="21" t="inlineStr">
        <is>
          <t>3800708230016</t>
        </is>
      </c>
      <c r="D9" s="22" t="inlineStr">
        <is>
          <t>Miss-Maqic  100 осветлитель 10.0</t>
        </is>
      </c>
      <c r="E9" s="23" t="n">
        <v>3.2</v>
      </c>
      <c r="F9" s="23" t="n">
        <v>20</v>
      </c>
      <c r="G9" s="23" t="n">
        <v>151</v>
      </c>
      <c r="H9" s="23" t="n">
        <v>151</v>
      </c>
      <c r="I9" s="23" t="n"/>
      <c r="J9" s="23" t="n"/>
      <c r="K9" s="19">
        <f>H9+I9+J9</f>
        <v/>
      </c>
      <c r="L9" s="19">
        <f>K9-G9</f>
        <v/>
      </c>
      <c r="M9" s="20">
        <f>L9*E9</f>
        <v/>
      </c>
      <c r="N9" s="20" t="n">
        <v>50</v>
      </c>
      <c r="O9" s="20" t="n"/>
      <c r="P9" s="20">
        <f>O9-N9</f>
        <v/>
      </c>
      <c r="Q9" s="20">
        <f>P9*E9</f>
        <v/>
      </c>
      <c r="R9" s="20" t="n"/>
    </row>
    <row r="10" ht="20" customHeight="1" s="1">
      <c r="A10" s="16" t="inlineStr">
        <is>
          <t>12641</t>
        </is>
      </c>
      <c r="B10" s="17" t="inlineStr">
        <is>
          <t>Solvex</t>
        </is>
      </c>
      <c r="C10" s="16" t="inlineStr">
        <is>
          <t>3800708230023</t>
        </is>
      </c>
      <c r="D10" s="17" t="inlineStr">
        <is>
          <t>Miss-Maqic 101 черный 1.0</t>
        </is>
      </c>
      <c r="E10" s="18" t="n">
        <v>3.2</v>
      </c>
      <c r="F10" s="18" t="n">
        <v>20</v>
      </c>
      <c r="G10" s="18" t="n">
        <v>388</v>
      </c>
      <c r="H10" s="18" t="n">
        <v>388</v>
      </c>
      <c r="I10" s="18" t="n"/>
      <c r="J10" s="18" t="n"/>
      <c r="K10" s="19">
        <f>H10+I10+J10</f>
        <v/>
      </c>
      <c r="L10" s="19">
        <f>K10-G10</f>
        <v/>
      </c>
      <c r="M10" s="20">
        <f>L10*E10</f>
        <v/>
      </c>
      <c r="N10" s="20" t="n">
        <v>50</v>
      </c>
      <c r="O10" s="20" t="n"/>
      <c r="P10" s="20">
        <f>O10-N10</f>
        <v/>
      </c>
      <c r="Q10" s="20">
        <f>P10*E10</f>
        <v/>
      </c>
      <c r="R10" s="20" t="n"/>
    </row>
    <row r="11" ht="20" customHeight="1" s="1">
      <c r="A11" s="21" t="inlineStr">
        <is>
          <t>12646</t>
        </is>
      </c>
      <c r="B11" s="22" t="inlineStr">
        <is>
          <t>Solvex</t>
        </is>
      </c>
      <c r="C11" s="21" t="inlineStr">
        <is>
          <t>3800708230030</t>
        </is>
      </c>
      <c r="D11" s="22" t="inlineStr">
        <is>
          <t>Miss-Maqic 102 синьо черен 1.1</t>
        </is>
      </c>
      <c r="E11" s="23" t="n">
        <v>3.2</v>
      </c>
      <c r="F11" s="23" t="n">
        <v>20</v>
      </c>
      <c r="G11" s="23" t="n">
        <v>187</v>
      </c>
      <c r="H11" s="23" t="n">
        <v>183</v>
      </c>
      <c r="I11" s="23" t="n">
        <v>4</v>
      </c>
      <c r="J11" s="23" t="n"/>
      <c r="K11" s="19">
        <f>H11+I11+J11</f>
        <v/>
      </c>
      <c r="L11" s="19">
        <f>K11-G11</f>
        <v/>
      </c>
      <c r="M11" s="20">
        <f>L11*E11</f>
        <v/>
      </c>
      <c r="N11" s="20" t="n">
        <v>50</v>
      </c>
      <c r="O11" s="20" t="n"/>
      <c r="P11" s="20">
        <f>O11-N11</f>
        <v/>
      </c>
      <c r="Q11" s="20">
        <f>P11*E11</f>
        <v/>
      </c>
      <c r="R11" s="20" t="n"/>
    </row>
    <row r="12" ht="20" customHeight="1" s="1">
      <c r="A12" s="16" t="inlineStr">
        <is>
          <t>12650</t>
        </is>
      </c>
      <c r="B12" s="17" t="inlineStr">
        <is>
          <t>Solvex</t>
        </is>
      </c>
      <c r="C12" s="16" t="inlineStr">
        <is>
          <t>3800708230047</t>
        </is>
      </c>
      <c r="D12" s="17" t="inlineStr">
        <is>
          <t>Miss-Maqic 103 баклажан 4.2</t>
        </is>
      </c>
      <c r="E12" s="18" t="n">
        <v>3.2</v>
      </c>
      <c r="F12" s="18" t="n">
        <v>20</v>
      </c>
      <c r="G12" s="18" t="n">
        <v>278</v>
      </c>
      <c r="H12" s="18" t="n"/>
      <c r="I12" s="18" t="n"/>
      <c r="J12" s="18" t="n"/>
      <c r="K12" s="19" t="n"/>
      <c r="L12" s="19" t="n"/>
      <c r="M12" s="20" t="n"/>
      <c r="N12" s="20" t="n">
        <v>50</v>
      </c>
      <c r="O12" s="20" t="n"/>
      <c r="P12" s="20">
        <f>O12-N12</f>
        <v/>
      </c>
      <c r="Q12" s="20">
        <f>P12*E12</f>
        <v/>
      </c>
      <c r="R12" s="20" t="n"/>
    </row>
    <row r="13" ht="20" customHeight="1" s="1">
      <c r="A13" s="21" t="inlineStr">
        <is>
          <t>12642</t>
        </is>
      </c>
      <c r="B13" s="22" t="inlineStr">
        <is>
          <t>Solvex</t>
        </is>
      </c>
      <c r="C13" s="21" t="inlineStr">
        <is>
          <t>3800708230054</t>
        </is>
      </c>
      <c r="D13" s="22" t="inlineStr">
        <is>
          <t>Miss-Maqic 104 шоколад 4.7</t>
        </is>
      </c>
      <c r="E13" s="23" t="n">
        <v>3.2</v>
      </c>
      <c r="F13" s="23" t="n">
        <v>20</v>
      </c>
      <c r="G13" s="23" t="n">
        <v>228</v>
      </c>
      <c r="H13" s="23" t="n">
        <v>228</v>
      </c>
      <c r="I13" s="23" t="n"/>
      <c r="J13" s="23" t="n"/>
      <c r="K13" s="19">
        <f>H13+I13+J13</f>
        <v/>
      </c>
      <c r="L13" s="19">
        <f>K13-G13</f>
        <v/>
      </c>
      <c r="M13" s="20">
        <f>L13*E13</f>
        <v/>
      </c>
      <c r="N13" s="20" t="n">
        <v>50</v>
      </c>
      <c r="O13" s="20" t="n"/>
      <c r="P13" s="20">
        <f>O13-N13</f>
        <v/>
      </c>
      <c r="Q13" s="20">
        <f>P13*E13</f>
        <v/>
      </c>
      <c r="R13" s="20" t="n"/>
    </row>
    <row r="14" ht="20" customHeight="1" s="1">
      <c r="A14" s="16" t="inlineStr">
        <is>
          <t>12647</t>
        </is>
      </c>
      <c r="B14" s="17" t="inlineStr">
        <is>
          <t>Solvex</t>
        </is>
      </c>
      <c r="C14" s="16" t="inlineStr">
        <is>
          <t>3800708230061</t>
        </is>
      </c>
      <c r="D14" s="17" t="inlineStr">
        <is>
          <t>Miss-Maqic 105 темно-каштановый 5.75</t>
        </is>
      </c>
      <c r="E14" s="18" t="n">
        <v>3.2</v>
      </c>
      <c r="F14" s="18" t="n">
        <v>20</v>
      </c>
      <c r="G14" s="18" t="n">
        <v>177</v>
      </c>
      <c r="H14" s="18" t="n"/>
      <c r="I14" s="18" t="n"/>
      <c r="J14" s="18" t="n"/>
      <c r="K14" s="19" t="n"/>
      <c r="L14" s="19" t="n"/>
      <c r="M14" s="20" t="n"/>
      <c r="N14" s="20" t="n">
        <v>50</v>
      </c>
      <c r="O14" s="20" t="n"/>
      <c r="P14" s="20">
        <f>O14-N14</f>
        <v/>
      </c>
      <c r="Q14" s="20">
        <f>P14*E14</f>
        <v/>
      </c>
      <c r="R14" s="20" t="n"/>
    </row>
    <row r="15" ht="20" customHeight="1" s="1">
      <c r="A15" s="21" t="inlineStr">
        <is>
          <t>12644</t>
        </is>
      </c>
      <c r="B15" s="22" t="inlineStr">
        <is>
          <t>Solvex</t>
        </is>
      </c>
      <c r="C15" s="21" t="inlineStr">
        <is>
          <t>3800708230078</t>
        </is>
      </c>
      <c r="D15" s="22" t="inlineStr">
        <is>
          <t>Miss-Maqic 106 каштановый 6.75</t>
        </is>
      </c>
      <c r="E15" s="23" t="n">
        <v>3.2</v>
      </c>
      <c r="F15" s="23" t="n">
        <v>20</v>
      </c>
      <c r="G15" s="23" t="n">
        <v>225</v>
      </c>
      <c r="H15" s="23" t="n"/>
      <c r="I15" s="23" t="n"/>
      <c r="J15" s="23" t="n"/>
      <c r="K15" s="19" t="n"/>
      <c r="L15" s="19" t="n"/>
      <c r="M15" s="20" t="n"/>
      <c r="N15" s="20" t="n">
        <v>50</v>
      </c>
      <c r="O15" s="20" t="n"/>
      <c r="P15" s="20">
        <f>O15-N15</f>
        <v/>
      </c>
      <c r="Q15" s="20">
        <f>P15*E15</f>
        <v/>
      </c>
      <c r="R15" s="20" t="n"/>
    </row>
    <row r="16" ht="20" customHeight="1" s="1">
      <c r="A16" s="16" t="inlineStr">
        <is>
          <t>12651</t>
        </is>
      </c>
      <c r="B16" s="17" t="inlineStr">
        <is>
          <t>Solvex</t>
        </is>
      </c>
      <c r="C16" s="16" t="inlineStr">
        <is>
          <t>3800708230085</t>
        </is>
      </c>
      <c r="D16" s="17" t="inlineStr">
        <is>
          <t>Miss-Maqic 107 светло каштановый 7.75</t>
        </is>
      </c>
      <c r="E16" s="18" t="n">
        <v>3.2</v>
      </c>
      <c r="F16" s="18" t="n">
        <v>20</v>
      </c>
      <c r="G16" s="18" t="n">
        <v>259</v>
      </c>
      <c r="H16" s="18" t="n">
        <v>259</v>
      </c>
      <c r="I16" s="18" t="n"/>
      <c r="J16" s="18" t="n"/>
      <c r="K16" s="19">
        <f>H16+I16+J16</f>
        <v/>
      </c>
      <c r="L16" s="19">
        <f>K16-G16</f>
        <v/>
      </c>
      <c r="M16" s="20">
        <f>L16*E16</f>
        <v/>
      </c>
      <c r="N16" s="20" t="n">
        <v>50</v>
      </c>
      <c r="O16" s="20" t="n"/>
      <c r="P16" s="20">
        <f>O16-N16</f>
        <v/>
      </c>
      <c r="Q16" s="20">
        <f>P16*E16</f>
        <v/>
      </c>
      <c r="R16" s="20" t="n"/>
    </row>
    <row r="17" ht="20" customHeight="1" s="1">
      <c r="A17" s="21" t="inlineStr">
        <is>
          <t>12635</t>
        </is>
      </c>
      <c r="B17" s="22" t="inlineStr">
        <is>
          <t>Solvex</t>
        </is>
      </c>
      <c r="C17" s="21" t="inlineStr">
        <is>
          <t>3800708230092</t>
        </is>
      </c>
      <c r="D17" s="22" t="inlineStr">
        <is>
          <t>Miss-Maqic  108 темно махагоновый 4.5</t>
        </is>
      </c>
      <c r="E17" s="23" t="n">
        <v>3.2</v>
      </c>
      <c r="F17" s="23" t="n">
        <v>20</v>
      </c>
      <c r="G17" s="23" t="n">
        <v>9110</v>
      </c>
      <c r="H17" s="23" t="n"/>
      <c r="I17" s="23" t="n"/>
      <c r="J17" s="23" t="n"/>
      <c r="K17" s="19" t="n"/>
      <c r="L17" s="19" t="n"/>
      <c r="M17" s="20" t="n"/>
      <c r="N17" s="20" t="n">
        <v>50</v>
      </c>
      <c r="O17" s="20" t="n"/>
      <c r="P17" s="20">
        <f>O17-N17</f>
        <v/>
      </c>
      <c r="Q17" s="20">
        <f>P17*E17</f>
        <v/>
      </c>
      <c r="R17" s="20" t="n"/>
    </row>
    <row r="18" ht="20" customHeight="1" s="1">
      <c r="A18" s="16" t="inlineStr">
        <is>
          <t>12637</t>
        </is>
      </c>
      <c r="B18" s="17" t="inlineStr">
        <is>
          <t>Solvex</t>
        </is>
      </c>
      <c r="C18" s="16" t="inlineStr">
        <is>
          <t>3800708230108</t>
        </is>
      </c>
      <c r="D18" s="17" t="inlineStr">
        <is>
          <t>Miss-Maqic  109 махагон 5.5</t>
        </is>
      </c>
      <c r="E18" s="18" t="n">
        <v>3.2</v>
      </c>
      <c r="F18" s="18" t="n">
        <v>20</v>
      </c>
      <c r="G18" s="18" t="n">
        <v>1209</v>
      </c>
      <c r="H18" s="18" t="n"/>
      <c r="I18" s="18" t="n"/>
      <c r="J18" s="18" t="n"/>
      <c r="K18" s="19" t="n"/>
      <c r="L18" s="19" t="n"/>
      <c r="M18" s="20" t="n"/>
      <c r="N18" s="20" t="n">
        <v>50</v>
      </c>
      <c r="O18" s="20" t="n"/>
      <c r="P18" s="20">
        <f>O18-N18</f>
        <v/>
      </c>
      <c r="Q18" s="20">
        <f>P18*E18</f>
        <v/>
      </c>
      <c r="R18" s="20" t="n"/>
    </row>
    <row r="19" ht="20" customHeight="1" s="1">
      <c r="A19" s="21" t="inlineStr">
        <is>
          <t>12643</t>
        </is>
      </c>
      <c r="B19" s="22" t="inlineStr">
        <is>
          <t>Solvex</t>
        </is>
      </c>
      <c r="C19" s="21" t="inlineStr">
        <is>
          <t>3800708230191</t>
        </is>
      </c>
      <c r="D19" s="22" t="inlineStr">
        <is>
          <t>Miss-Maqic  118 темно русый 6.0</t>
        </is>
      </c>
      <c r="E19" s="23" t="n">
        <v>3.2</v>
      </c>
      <c r="F19" s="23" t="n">
        <v>20</v>
      </c>
      <c r="G19" s="23" t="n">
        <v>183</v>
      </c>
      <c r="H19" s="23" t="n">
        <v>183</v>
      </c>
      <c r="I19" s="23" t="n"/>
      <c r="J19" s="23" t="n"/>
      <c r="K19" s="19">
        <f>H19+I19+J19</f>
        <v/>
      </c>
      <c r="L19" s="19">
        <f>K19-G19</f>
        <v/>
      </c>
      <c r="M19" s="20">
        <f>L19*E19</f>
        <v/>
      </c>
      <c r="N19" s="20" t="n">
        <v>50</v>
      </c>
      <c r="O19" s="20" t="n"/>
      <c r="P19" s="20">
        <f>O19-N19</f>
        <v/>
      </c>
      <c r="Q19" s="20">
        <f>P19*E19</f>
        <v/>
      </c>
      <c r="R19" s="20" t="n"/>
    </row>
    <row r="20" ht="20" customHeight="1" s="1">
      <c r="A20" s="16" t="inlineStr">
        <is>
          <t>12655</t>
        </is>
      </c>
      <c r="B20" s="17" t="inlineStr">
        <is>
          <t>Solvex</t>
        </is>
      </c>
      <c r="C20" s="16" t="inlineStr">
        <is>
          <t>3800708230207</t>
        </is>
      </c>
      <c r="D20" s="17" t="inlineStr">
        <is>
          <t>Miss-Maqic 119 лесной орех 7.0</t>
        </is>
      </c>
      <c r="E20" s="18" t="n">
        <v>3.2</v>
      </c>
      <c r="F20" s="18" t="n">
        <v>20</v>
      </c>
      <c r="G20" s="18" t="n">
        <v>240</v>
      </c>
      <c r="H20" s="18" t="n">
        <v>239</v>
      </c>
      <c r="I20" s="18" t="n">
        <v>1</v>
      </c>
      <c r="J20" s="18" t="n"/>
      <c r="K20" s="19">
        <f>H20+I20+J20</f>
        <v/>
      </c>
      <c r="L20" s="19">
        <f>K20-G20</f>
        <v/>
      </c>
      <c r="M20" s="20">
        <f>L20*E20</f>
        <v/>
      </c>
      <c r="N20" s="20" t="n">
        <v>50</v>
      </c>
      <c r="O20" s="20" t="n"/>
      <c r="P20" s="20">
        <f>O20-N20</f>
        <v/>
      </c>
      <c r="Q20" s="20">
        <f>P20*E20</f>
        <v/>
      </c>
      <c r="R20" s="20" t="n"/>
    </row>
    <row r="21" ht="20" customHeight="1" s="1">
      <c r="A21" s="21" t="inlineStr">
        <is>
          <t>12649</t>
        </is>
      </c>
      <c r="B21" s="22" t="inlineStr">
        <is>
          <t>Solvex</t>
        </is>
      </c>
      <c r="C21" s="21" t="inlineStr">
        <is>
          <t>3800708230238</t>
        </is>
      </c>
      <c r="D21" s="22" t="inlineStr">
        <is>
          <t>Miss-Maqic 122 пепельный русый 7.1</t>
        </is>
      </c>
      <c r="E21" s="23" t="n">
        <v>3.2</v>
      </c>
      <c r="F21" s="23" t="n">
        <v>20</v>
      </c>
      <c r="G21" s="23" t="n">
        <v>228</v>
      </c>
      <c r="H21" s="23" t="n">
        <v>228</v>
      </c>
      <c r="I21" s="23" t="n"/>
      <c r="J21" s="23" t="n"/>
      <c r="K21" s="19">
        <f>H21+I21+J21</f>
        <v/>
      </c>
      <c r="L21" s="19">
        <f>K21-G21</f>
        <v/>
      </c>
      <c r="M21" s="20">
        <f>L21*E21</f>
        <v/>
      </c>
      <c r="N21" s="20" t="n">
        <v>50</v>
      </c>
      <c r="O21" s="20" t="n"/>
      <c r="P21" s="20">
        <f>O21-N21</f>
        <v/>
      </c>
      <c r="Q21" s="20">
        <f>P21*E21</f>
        <v/>
      </c>
      <c r="R21" s="20" t="n"/>
    </row>
    <row r="22" ht="20" customHeight="1" s="1">
      <c r="A22" s="16" t="inlineStr">
        <is>
          <t>12710</t>
        </is>
      </c>
      <c r="B22" s="17" t="inlineStr">
        <is>
          <t>Solvex</t>
        </is>
      </c>
      <c r="C22" s="16" t="inlineStr">
        <is>
          <t>3800708230139</t>
        </is>
      </c>
      <c r="D22" s="17" t="inlineStr">
        <is>
          <t>Miss Magic 112 Кoняак 9.25</t>
        </is>
      </c>
      <c r="E22" s="18" t="n">
        <v>3.2</v>
      </c>
      <c r="F22" s="18" t="n">
        <v>20</v>
      </c>
      <c r="G22" s="18" t="n">
        <v>195</v>
      </c>
      <c r="H22" s="18" t="n">
        <v>195</v>
      </c>
      <c r="I22" s="18" t="n"/>
      <c r="J22" s="18" t="n"/>
      <c r="K22" s="19">
        <f>H22+I22+J22</f>
        <v/>
      </c>
      <c r="L22" s="19">
        <f>K22-G22</f>
        <v/>
      </c>
      <c r="M22" s="20">
        <f>L22*E22</f>
        <v/>
      </c>
      <c r="N22" s="20" t="n">
        <v>50</v>
      </c>
      <c r="O22" s="20" t="n"/>
      <c r="P22" s="20">
        <f>O22-N22</f>
        <v/>
      </c>
      <c r="Q22" s="20">
        <f>P22*E22</f>
        <v/>
      </c>
      <c r="R22" s="20" t="n"/>
    </row>
    <row r="23" ht="20" customHeight="1" s="1">
      <c r="A23" s="21" t="inlineStr">
        <is>
          <t>12698</t>
        </is>
      </c>
      <c r="B23" s="22" t="inlineStr">
        <is>
          <t>Solvex</t>
        </is>
      </c>
      <c r="C23" s="21" t="inlineStr">
        <is>
          <t>3800708230146</t>
        </is>
      </c>
      <c r="D23" s="22" t="inlineStr">
        <is>
          <t>Miss-Maqic  113 бургунд 5.2</t>
        </is>
      </c>
      <c r="E23" s="23" t="n">
        <v>3.2</v>
      </c>
      <c r="F23" s="23" t="n">
        <v>20</v>
      </c>
      <c r="G23" s="23" t="n">
        <v>180</v>
      </c>
      <c r="H23" s="23" t="n">
        <v>180</v>
      </c>
      <c r="I23" s="23" t="n"/>
      <c r="J23" s="23" t="n"/>
      <c r="K23" s="19">
        <f>H23+I23+J23</f>
        <v/>
      </c>
      <c r="L23" s="19">
        <f>K23-G23</f>
        <v/>
      </c>
      <c r="M23" s="20">
        <f>L23*E23</f>
        <v/>
      </c>
      <c r="N23" s="20" t="n">
        <v>50</v>
      </c>
      <c r="O23" s="20" t="n"/>
      <c r="P23" s="20">
        <f>O23-N23</f>
        <v/>
      </c>
      <c r="Q23" s="20">
        <f>P23*E23</f>
        <v/>
      </c>
      <c r="R23" s="20" t="n"/>
    </row>
    <row r="24" ht="20" customHeight="1" s="1">
      <c r="A24" s="16" t="inlineStr">
        <is>
          <t>12696</t>
        </is>
      </c>
      <c r="B24" s="17" t="inlineStr">
        <is>
          <t>Solvex</t>
        </is>
      </c>
      <c r="C24" s="16" t="inlineStr">
        <is>
          <t>3800708230153</t>
        </is>
      </c>
      <c r="D24" s="17" t="inlineStr">
        <is>
          <t>Miss-Maqic  114 бордо 5.22</t>
        </is>
      </c>
      <c r="E24" s="18" t="n">
        <v>3.2</v>
      </c>
      <c r="F24" s="18" t="n">
        <v>20</v>
      </c>
      <c r="G24" s="18" t="n">
        <v>177</v>
      </c>
      <c r="H24" s="18" t="n">
        <v>177</v>
      </c>
      <c r="I24" s="18" t="n"/>
      <c r="J24" s="18" t="n"/>
      <c r="K24" s="19">
        <f>H24+I24+J24</f>
        <v/>
      </c>
      <c r="L24" s="19">
        <f>K24-G24</f>
        <v/>
      </c>
      <c r="M24" s="20">
        <f>L24*E24</f>
        <v/>
      </c>
      <c r="N24" s="20" t="n">
        <v>50</v>
      </c>
      <c r="O24" s="20" t="n"/>
      <c r="P24" s="20">
        <f>O24-N24</f>
        <v/>
      </c>
      <c r="Q24" s="20">
        <f>P24*E24</f>
        <v/>
      </c>
      <c r="R24" s="20" t="n"/>
    </row>
    <row r="25" ht="20" customHeight="1" s="1">
      <c r="A25" s="21" t="inlineStr">
        <is>
          <t>12712</t>
        </is>
      </c>
      <c r="B25" s="22" t="inlineStr">
        <is>
          <t>Solvex</t>
        </is>
      </c>
      <c r="C25" s="21" t="inlineStr">
        <is>
          <t>3800708230184</t>
        </is>
      </c>
      <c r="D25" s="22" t="inlineStr">
        <is>
          <t>Miss-Maqic  117 розово русый 7.72</t>
        </is>
      </c>
      <c r="E25" s="23" t="n">
        <v>3.2</v>
      </c>
      <c r="F25" s="23" t="n">
        <v>20</v>
      </c>
      <c r="G25" s="23" t="n">
        <v>217</v>
      </c>
      <c r="H25" s="23" t="n">
        <v>217</v>
      </c>
      <c r="I25" s="23" t="n"/>
      <c r="J25" s="23" t="n"/>
      <c r="K25" s="19">
        <f>H25+I25+J25</f>
        <v/>
      </c>
      <c r="L25" s="19">
        <f>K25-G25</f>
        <v/>
      </c>
      <c r="M25" s="20">
        <f>L25*E25</f>
        <v/>
      </c>
      <c r="N25" s="20" t="n">
        <v>50</v>
      </c>
      <c r="O25" s="20" t="n"/>
      <c r="P25" s="20">
        <f>O25-N25</f>
        <v/>
      </c>
      <c r="Q25" s="20">
        <f>P25*E25</f>
        <v/>
      </c>
      <c r="R25" s="20" t="n"/>
    </row>
    <row r="26" ht="20" customHeight="1" s="1">
      <c r="A26" s="16" t="inlineStr">
        <is>
          <t>12667</t>
        </is>
      </c>
      <c r="B26" s="17" t="inlineStr">
        <is>
          <t>Solvex</t>
        </is>
      </c>
      <c r="C26" s="16" t="inlineStr">
        <is>
          <t>3800708230214</t>
        </is>
      </c>
      <c r="D26" s="17" t="inlineStr">
        <is>
          <t>Miss-Maqic 120 песочный 8.0</t>
        </is>
      </c>
      <c r="E26" s="18" t="n">
        <v>3.2</v>
      </c>
      <c r="F26" s="18" t="n">
        <v>20</v>
      </c>
      <c r="G26" s="18" t="n">
        <v>194</v>
      </c>
      <c r="H26" s="18" t="n">
        <v>194</v>
      </c>
      <c r="I26" s="18" t="n"/>
      <c r="J26" s="18" t="n"/>
      <c r="K26" s="19">
        <f>H26+I26+J26</f>
        <v/>
      </c>
      <c r="L26" s="19">
        <f>K26-G26</f>
        <v/>
      </c>
      <c r="M26" s="20">
        <f>L26*E26</f>
        <v/>
      </c>
      <c r="N26" s="20" t="n">
        <v>50</v>
      </c>
      <c r="O26" s="20" t="n"/>
      <c r="P26" s="20">
        <f>O26-N26</f>
        <v/>
      </c>
      <c r="Q26" s="20">
        <f>P26*E26</f>
        <v/>
      </c>
      <c r="R26" s="20" t="n"/>
    </row>
    <row r="27" ht="20" customHeight="1" s="1">
      <c r="A27" s="21" t="inlineStr">
        <is>
          <t>12682</t>
        </is>
      </c>
      <c r="B27" s="22" t="inlineStr">
        <is>
          <t>Solvex</t>
        </is>
      </c>
      <c r="C27" s="21" t="inlineStr">
        <is>
          <t>3800708230221</t>
        </is>
      </c>
      <c r="D27" s="22" t="inlineStr">
        <is>
          <t>Miss-Maqic 121 золотисто русый 8.3</t>
        </is>
      </c>
      <c r="E27" s="23" t="n">
        <v>3.2</v>
      </c>
      <c r="F27" s="23" t="n">
        <v>20</v>
      </c>
      <c r="G27" s="23" t="n">
        <v>159</v>
      </c>
      <c r="H27" s="23" t="n">
        <v>159</v>
      </c>
      <c r="I27" s="23" t="n"/>
      <c r="J27" s="23" t="n"/>
      <c r="K27" s="19">
        <f>H27+I27+J27</f>
        <v/>
      </c>
      <c r="L27" s="19">
        <f>K27-G27</f>
        <v/>
      </c>
      <c r="M27" s="20">
        <f>L27*E27</f>
        <v/>
      </c>
      <c r="N27" s="20" t="n">
        <v>50</v>
      </c>
      <c r="O27" s="20" t="n"/>
      <c r="P27" s="20">
        <f>O27-N27</f>
        <v/>
      </c>
      <c r="Q27" s="20">
        <f>P27*E27</f>
        <v/>
      </c>
      <c r="R27" s="20" t="n"/>
    </row>
    <row r="28" ht="20" customHeight="1" s="1">
      <c r="A28" s="16" t="inlineStr">
        <is>
          <t>12686</t>
        </is>
      </c>
      <c r="B28" s="17" t="inlineStr">
        <is>
          <t>Solvex</t>
        </is>
      </c>
      <c r="C28" s="16" t="inlineStr">
        <is>
          <t>3800708230245</t>
        </is>
      </c>
      <c r="D28" s="17" t="inlineStr">
        <is>
          <t>Miss-Maqic 123 платиновый блондин 10.1</t>
        </is>
      </c>
      <c r="E28" s="18" t="n">
        <v>3.2</v>
      </c>
      <c r="F28" s="18" t="n">
        <v>20</v>
      </c>
      <c r="G28" s="18" t="n">
        <v>10</v>
      </c>
      <c r="H28" s="18" t="n">
        <v>10</v>
      </c>
      <c r="I28" s="18" t="n"/>
      <c r="J28" s="18" t="n"/>
      <c r="K28" s="19">
        <f>H28+I28+J28</f>
        <v/>
      </c>
      <c r="L28" s="19">
        <f>K28-G28</f>
        <v/>
      </c>
      <c r="M28" s="20">
        <f>L28*E28</f>
        <v/>
      </c>
      <c r="N28" s="20" t="n">
        <v>50</v>
      </c>
      <c r="O28" s="20" t="n"/>
      <c r="P28" s="20">
        <f>O28-N28</f>
        <v/>
      </c>
      <c r="Q28" s="20">
        <f>P28*E28</f>
        <v/>
      </c>
      <c r="R28" s="20" t="n"/>
    </row>
    <row r="29" ht="20" customHeight="1" s="1">
      <c r="A29" s="21" t="inlineStr">
        <is>
          <t>12708</t>
        </is>
      </c>
      <c r="B29" s="22" t="inlineStr">
        <is>
          <t>Solvex</t>
        </is>
      </c>
      <c r="C29" s="21" t="inlineStr">
        <is>
          <t>3800708230269</t>
        </is>
      </c>
      <c r="D29" s="22" t="inlineStr">
        <is>
          <t>Miss Magic 208 Тьмна вишна 4.6</t>
        </is>
      </c>
      <c r="E29" s="23" t="n">
        <v>3.2</v>
      </c>
      <c r="F29" s="23" t="n">
        <v>20</v>
      </c>
      <c r="G29" s="23" t="n">
        <v>130</v>
      </c>
      <c r="H29" s="23" t="n">
        <v>130</v>
      </c>
      <c r="I29" s="23" t="n"/>
      <c r="J29" s="23" t="n"/>
      <c r="K29" s="19">
        <f>H29+I29+J29</f>
        <v/>
      </c>
      <c r="L29" s="19">
        <f>K29-G29</f>
        <v/>
      </c>
      <c r="M29" s="20">
        <f>L29*E29</f>
        <v/>
      </c>
      <c r="N29" s="20" t="n">
        <v>50</v>
      </c>
      <c r="O29" s="20" t="n"/>
      <c r="P29" s="20">
        <f>O29-N29</f>
        <v/>
      </c>
      <c r="Q29" s="20">
        <f>P29*E29</f>
        <v/>
      </c>
      <c r="R29" s="20" t="n"/>
    </row>
    <row r="30" ht="20" customHeight="1" s="1">
      <c r="A30" s="16" t="inlineStr">
        <is>
          <t>12706</t>
        </is>
      </c>
      <c r="B30" s="17" t="inlineStr">
        <is>
          <t>Solvex</t>
        </is>
      </c>
      <c r="C30" s="16" t="inlineStr">
        <is>
          <t>3800708230351</t>
        </is>
      </c>
      <c r="D30" s="17" t="inlineStr">
        <is>
          <t>Miss Magic 6.5  Дикая черешня</t>
        </is>
      </c>
      <c r="E30" s="18" t="n">
        <v>3.2</v>
      </c>
      <c r="F30" s="18" t="n">
        <v>20</v>
      </c>
      <c r="G30" s="18" t="n">
        <v>95</v>
      </c>
      <c r="H30" s="18" t="n">
        <v>95</v>
      </c>
      <c r="I30" s="18" t="n"/>
      <c r="J30" s="18" t="n"/>
      <c r="K30" s="19">
        <f>H30+I30+J30</f>
        <v/>
      </c>
      <c r="L30" s="19">
        <f>K30-G30</f>
        <v/>
      </c>
      <c r="M30" s="20">
        <f>L30*E30</f>
        <v/>
      </c>
      <c r="N30" s="20" t="n">
        <v>50</v>
      </c>
      <c r="O30" s="20" t="n"/>
      <c r="P30" s="20">
        <f>O30-N30</f>
        <v/>
      </c>
      <c r="Q30" s="20">
        <f>P30*E30</f>
        <v/>
      </c>
      <c r="R30" s="20" t="n"/>
    </row>
    <row r="31" ht="20" customHeight="1" s="1">
      <c r="A31" s="21" t="inlineStr">
        <is>
          <t>12701</t>
        </is>
      </c>
      <c r="B31" s="22" t="inlineStr">
        <is>
          <t>Solvex</t>
        </is>
      </c>
      <c r="C31" s="21" t="inlineStr">
        <is>
          <t>3800708230344</t>
        </is>
      </c>
      <c r="D31" s="22" t="inlineStr">
        <is>
          <t>Miss Magic 9.2  Темно-песочный</t>
        </is>
      </c>
      <c r="E31" s="23" t="n">
        <v>3.2</v>
      </c>
      <c r="F31" s="23" t="n">
        <v>20</v>
      </c>
      <c r="G31" s="23" t="n">
        <v>205</v>
      </c>
      <c r="H31" s="23" t="n"/>
      <c r="I31" s="23" t="n"/>
      <c r="J31" s="23" t="n"/>
      <c r="K31" s="19" t="n"/>
      <c r="L31" s="19" t="n"/>
      <c r="M31" s="20" t="n"/>
      <c r="N31" s="20" t="n">
        <v>50</v>
      </c>
      <c r="O31" s="20" t="n"/>
      <c r="P31" s="20">
        <f>O31-N31</f>
        <v/>
      </c>
      <c r="Q31" s="20">
        <f>P31*E31</f>
        <v/>
      </c>
      <c r="R31" s="20" t="n"/>
    </row>
    <row r="32" ht="20" customHeight="1" s="1">
      <c r="A32" s="16" t="inlineStr">
        <is>
          <t>12685</t>
        </is>
      </c>
      <c r="B32" s="17" t="inlineStr">
        <is>
          <t>Solvex</t>
        </is>
      </c>
      <c r="C32" s="16" t="inlineStr">
        <is>
          <t>3800708230337</t>
        </is>
      </c>
      <c r="D32" s="17" t="inlineStr">
        <is>
          <t>Miss Magic  5.57  Млечен шоколад</t>
        </is>
      </c>
      <c r="E32" s="18" t="n">
        <v>3.2</v>
      </c>
      <c r="F32" s="18" t="n">
        <v>20</v>
      </c>
      <c r="G32" s="18" t="n">
        <v>157</v>
      </c>
      <c r="H32" s="18" t="n">
        <v>157</v>
      </c>
      <c r="I32" s="18" t="n"/>
      <c r="J32" s="18" t="n"/>
      <c r="K32" s="19">
        <f>H32+I32+J32</f>
        <v/>
      </c>
      <c r="L32" s="19">
        <f>K32-G32</f>
        <v/>
      </c>
      <c r="M32" s="20">
        <f>L32*E32</f>
        <v/>
      </c>
      <c r="N32" s="20" t="n">
        <v>50</v>
      </c>
      <c r="O32" s="20" t="n"/>
      <c r="P32" s="20">
        <f>O32-N32</f>
        <v/>
      </c>
      <c r="Q32" s="20">
        <f>P32*E32</f>
        <v/>
      </c>
      <c r="R32" s="20" t="n"/>
    </row>
    <row r="33" ht="20" customHeight="1" s="1">
      <c r="A33" s="21" t="inlineStr">
        <is>
          <t>12692</t>
        </is>
      </c>
      <c r="B33" s="22" t="inlineStr">
        <is>
          <t>Solvex</t>
        </is>
      </c>
      <c r="C33" s="21" t="inlineStr">
        <is>
          <t>3800708010045</t>
        </is>
      </c>
      <c r="D33" s="22" t="inlineStr">
        <is>
          <t>Miss Solvex Blond</t>
        </is>
      </c>
      <c r="E33" s="23" t="n">
        <v>3.2</v>
      </c>
      <c r="F33" s="23" t="n">
        <v>30</v>
      </c>
      <c r="G33" s="23" t="n">
        <v>47</v>
      </c>
      <c r="H33" s="23" t="n">
        <v>47</v>
      </c>
      <c r="I33" s="23" t="n"/>
      <c r="J33" s="23" t="n"/>
      <c r="K33" s="19">
        <f>H33+I33+J33</f>
        <v/>
      </c>
      <c r="L33" s="19">
        <f>K33-G33</f>
        <v/>
      </c>
      <c r="M33" s="20">
        <f>L33*E33</f>
        <v/>
      </c>
      <c r="N33" s="20" t="n">
        <v>50</v>
      </c>
      <c r="O33" s="20" t="n"/>
      <c r="P33" s="20">
        <f>O33-N33</f>
        <v/>
      </c>
      <c r="Q33" s="20">
        <f>P33*E33</f>
        <v/>
      </c>
      <c r="R33" s="20" t="n"/>
    </row>
    <row r="34" ht="20" customHeight="1" s="1">
      <c r="A34" s="16" t="inlineStr">
        <is>
          <t>12645</t>
        </is>
      </c>
      <c r="B34" s="17" t="inlineStr">
        <is>
          <t>Roza Ipmex</t>
        </is>
      </c>
      <c r="C34" s="16" t="inlineStr">
        <is>
          <t>3800010500012</t>
        </is>
      </c>
      <c r="D34" s="17" t="inlineStr">
        <is>
          <t>Blondor</t>
        </is>
      </c>
      <c r="E34" s="18" t="n">
        <v>2.95</v>
      </c>
      <c r="F34" s="18" t="n">
        <v>30</v>
      </c>
      <c r="G34" s="18" t="n">
        <v>583</v>
      </c>
      <c r="H34" s="18" t="n"/>
      <c r="I34" s="18" t="n"/>
      <c r="J34" s="18" t="n"/>
      <c r="K34" s="19">
        <f>H34+I34+J34</f>
        <v/>
      </c>
      <c r="L34" s="19">
        <f>K34-G34</f>
        <v/>
      </c>
      <c r="M34" s="20">
        <f>L34*E34</f>
        <v/>
      </c>
      <c r="N34" s="20" t="n">
        <v>50</v>
      </c>
      <c r="O34" s="20" t="n"/>
      <c r="P34" s="20">
        <f>O34-N34</f>
        <v/>
      </c>
      <c r="Q34" s="20">
        <f>P34*E34</f>
        <v/>
      </c>
      <c r="R34" s="20" t="n"/>
    </row>
    <row r="35" ht="20" customHeight="1" s="1">
      <c r="A35" s="21" t="inlineStr">
        <is>
          <t>12738</t>
        </is>
      </c>
      <c r="B35" s="22" t="inlineStr">
        <is>
          <t>Roza Ipmex</t>
        </is>
      </c>
      <c r="C35" s="21" t="inlineStr">
        <is>
          <t>3800010500753</t>
        </is>
      </c>
      <c r="D35" s="22" t="inlineStr">
        <is>
          <t>Blond TIME-2</t>
        </is>
      </c>
      <c r="E35" s="23" t="n">
        <v>2.95</v>
      </c>
      <c r="F35" s="23" t="n">
        <v>20</v>
      </c>
      <c r="G35" s="23" t="n">
        <v>0</v>
      </c>
      <c r="H35" s="23" t="n"/>
      <c r="I35" s="23" t="n"/>
      <c r="J35" s="23" t="n"/>
      <c r="K35" s="19">
        <f>H35+I35+J35</f>
        <v/>
      </c>
      <c r="L35" s="19">
        <f>K35-G35</f>
        <v/>
      </c>
      <c r="M35" s="20">
        <f>L35*E35</f>
        <v/>
      </c>
      <c r="N35" s="20" t="n">
        <v>50</v>
      </c>
      <c r="O35" s="20" t="n"/>
      <c r="P35" s="20">
        <f>O35-N35</f>
        <v/>
      </c>
      <c r="Q35" s="20">
        <f>P35*E35</f>
        <v/>
      </c>
      <c r="R35" s="20" t="n"/>
    </row>
    <row r="36" ht="20" customHeight="1" s="1">
      <c r="A36" s="16" t="inlineStr">
        <is>
          <t>14248</t>
        </is>
      </c>
      <c r="B36" s="17" t="inlineStr">
        <is>
          <t>Roza Ipmex</t>
        </is>
      </c>
      <c r="C36" s="16" t="inlineStr">
        <is>
          <t>3800010500272</t>
        </is>
      </c>
      <c r="D36" s="17" t="inlineStr">
        <is>
          <t>Blond Time (1+2)(yeni)</t>
        </is>
      </c>
      <c r="E36" s="18" t="n">
        <v>2.95</v>
      </c>
      <c r="F36" s="18" t="n">
        <v>30</v>
      </c>
      <c r="G36" s="18" t="n">
        <v>87</v>
      </c>
      <c r="H36" s="18" t="n"/>
      <c r="I36" s="18" t="n"/>
      <c r="J36" s="18" t="n"/>
      <c r="K36" s="19">
        <f>H36+I36+J36</f>
        <v/>
      </c>
      <c r="L36" s="19">
        <f>K36-G36</f>
        <v/>
      </c>
      <c r="M36" s="20">
        <f>L36*E36</f>
        <v/>
      </c>
      <c r="N36" s="20" t="n">
        <v>50</v>
      </c>
      <c r="O36" s="20" t="n"/>
      <c r="P36" s="20">
        <f>O36-N36</f>
        <v/>
      </c>
      <c r="Q36" s="20">
        <f>P36*E36</f>
        <v/>
      </c>
      <c r="R36" s="20" t="n"/>
    </row>
    <row r="37" ht="20" customHeight="1" s="1">
      <c r="A37" s="21" t="inlineStr">
        <is>
          <t>12676</t>
        </is>
      </c>
      <c r="B37" s="22" t="inlineStr">
        <is>
          <t>Roza Ipmex</t>
        </is>
      </c>
      <c r="C37" s="21" t="inlineStr">
        <is>
          <t>3800010502313</t>
        </is>
      </c>
      <c r="D37" s="22" t="inlineStr">
        <is>
          <t>Ахроактив крем отбеливюш. 45мл</t>
        </is>
      </c>
      <c r="E37" s="23" t="n">
        <v>1.95</v>
      </c>
      <c r="F37" s="23" t="n">
        <v>100</v>
      </c>
      <c r="G37" s="23" t="n">
        <v>0</v>
      </c>
      <c r="H37" s="23" t="n"/>
      <c r="I37" s="23" t="n"/>
      <c r="J37" s="23" t="n"/>
      <c r="K37" s="19">
        <f>H37+I37+J37</f>
        <v/>
      </c>
      <c r="L37" s="19">
        <f>K37-G37</f>
        <v/>
      </c>
      <c r="M37" s="20">
        <f>L37*E37</f>
        <v/>
      </c>
      <c r="N37" s="20" t="n">
        <v>50</v>
      </c>
      <c r="O37" s="20" t="n"/>
      <c r="P37" s="20">
        <f>O37-N37</f>
        <v/>
      </c>
      <c r="Q37" s="20">
        <f>P37*E37</f>
        <v/>
      </c>
      <c r="R37" s="20" t="n"/>
    </row>
    <row r="38" ht="20" customHeight="1" s="1">
      <c r="A38" s="16" t="inlineStr">
        <is>
          <t>11986</t>
        </is>
      </c>
      <c r="B38" s="17" t="inlineStr">
        <is>
          <t>NUR GİDA</t>
        </is>
      </c>
      <c r="C38" s="16" t="inlineStr">
        <is>
          <t>8699444261218</t>
        </is>
      </c>
      <c r="D38" s="17" t="inlineStr">
        <is>
          <t>Atarctive Tras Kopuk Cool Mavi 210 ml</t>
        </is>
      </c>
      <c r="E38" s="18" t="n">
        <v>2.6</v>
      </c>
      <c r="F38" s="18" t="n">
        <v>24</v>
      </c>
      <c r="G38" s="18" t="n">
        <v>402</v>
      </c>
      <c r="H38" s="18" t="n"/>
      <c r="I38" s="18" t="n">
        <v>402</v>
      </c>
      <c r="J38" s="18" t="n"/>
      <c r="K38" s="19">
        <f>H38+I38+J38</f>
        <v/>
      </c>
      <c r="L38" s="19">
        <f>K38-G38</f>
        <v/>
      </c>
      <c r="M38" s="20">
        <f>L38*E38</f>
        <v/>
      </c>
      <c r="N38" s="20" t="n">
        <v>50</v>
      </c>
      <c r="O38" s="20" t="n">
        <v>1</v>
      </c>
      <c r="P38" s="20">
        <f>O38-N38</f>
        <v/>
      </c>
      <c r="Q38" s="20">
        <f>P38*E38</f>
        <v/>
      </c>
      <c r="R38" s="20" t="inlineStr">
        <is>
          <t>Perviz</t>
        </is>
      </c>
    </row>
    <row r="39" ht="20" customHeight="1" s="1">
      <c r="A39" s="21" t="inlineStr">
        <is>
          <t>10298</t>
        </is>
      </c>
      <c r="B39" s="22" t="inlineStr">
        <is>
          <t>NUR GİDA</t>
        </is>
      </c>
      <c r="C39" s="21" t="inlineStr">
        <is>
          <t>8699444261140</t>
        </is>
      </c>
      <c r="D39" s="22" t="inlineStr">
        <is>
          <t>Atarctive Tras Kopuk Sensetiv Beyaz 210 ml</t>
        </is>
      </c>
      <c r="E39" s="23" t="n">
        <v>2.6</v>
      </c>
      <c r="F39" s="23" t="n">
        <v>24</v>
      </c>
      <c r="G39" s="23" t="n">
        <v>380</v>
      </c>
      <c r="H39" s="23" t="n"/>
      <c r="I39" s="23" t="n">
        <v>380</v>
      </c>
      <c r="J39" s="23" t="n"/>
      <c r="K39" s="19">
        <f>H39+I39+J39</f>
        <v/>
      </c>
      <c r="L39" s="19">
        <f>K39-G39</f>
        <v/>
      </c>
      <c r="M39" s="20">
        <f>L39*E39</f>
        <v/>
      </c>
      <c r="N39" s="20" t="n">
        <v>50</v>
      </c>
      <c r="O39" s="20" t="n"/>
      <c r="P39" s="20">
        <f>O39-N39</f>
        <v/>
      </c>
      <c r="Q39" s="20">
        <f>P39*E39</f>
        <v/>
      </c>
      <c r="R39" s="20" t="n"/>
    </row>
    <row r="40" ht="20" customHeight="1" s="1">
      <c r="A40" s="16" t="inlineStr">
        <is>
          <t>19819</t>
        </is>
      </c>
      <c r="B40" s="17" t="inlineStr">
        <is>
          <t>NUR GİDA</t>
        </is>
      </c>
      <c r="C40" s="16" t="inlineStr">
        <is>
          <t>8699444267708</t>
        </is>
      </c>
      <c r="D40" s="17" t="inlineStr">
        <is>
          <t>Effective Antiperspirant Men AKTIVE FRESH 150 ml</t>
        </is>
      </c>
      <c r="E40" s="18" t="n">
        <v>3.6</v>
      </c>
      <c r="F40" s="18" t="n">
        <v>24</v>
      </c>
      <c r="G40" s="18" t="n">
        <v>4</v>
      </c>
      <c r="H40" s="18" t="n"/>
      <c r="I40" s="18" t="n"/>
      <c r="J40" s="18" t="n"/>
      <c r="K40" s="19" t="n"/>
      <c r="L40" s="19" t="n"/>
      <c r="M40" s="20" t="n"/>
      <c r="N40" s="20" t="n">
        <v>50</v>
      </c>
      <c r="O40" s="20" t="n"/>
      <c r="P40" s="20">
        <f>O40-N40</f>
        <v/>
      </c>
      <c r="Q40" s="20">
        <f>P40*E40</f>
        <v/>
      </c>
      <c r="R40" s="20" t="n"/>
    </row>
    <row r="41" ht="20" customHeight="1" s="1">
      <c r="A41" s="16" t="inlineStr">
        <is>
          <t>20790</t>
        </is>
      </c>
      <c r="B41" s="17" t="inlineStr">
        <is>
          <t>NUR GİDA</t>
        </is>
      </c>
      <c r="C41" s="16" t="inlineStr">
        <is>
          <t>8699444267975</t>
        </is>
      </c>
      <c r="D41" s="17" t="inlineStr">
        <is>
          <t>Effective Antiperspirant Men CHAMPION 150 ml</t>
        </is>
      </c>
      <c r="E41" s="18" t="n">
        <v>3.6</v>
      </c>
      <c r="F41" s="18" t="n">
        <v>24</v>
      </c>
      <c r="G41" s="18" t="n">
        <v>274</v>
      </c>
      <c r="H41" s="18" t="n"/>
      <c r="I41" s="18" t="n">
        <v>274</v>
      </c>
      <c r="J41" s="18" t="n"/>
      <c r="K41" s="19">
        <f>H41+I41+J41</f>
        <v/>
      </c>
      <c r="L41" s="19">
        <f>K41-G41</f>
        <v/>
      </c>
      <c r="M41" s="20">
        <f>L41*E41</f>
        <v/>
      </c>
      <c r="N41" s="20" t="n">
        <v>50</v>
      </c>
      <c r="O41" s="20" t="n"/>
      <c r="P41" s="20">
        <f>O41-N41</f>
        <v/>
      </c>
      <c r="Q41" s="20">
        <f>P41*E41</f>
        <v/>
      </c>
      <c r="R41" s="20" t="n"/>
    </row>
    <row r="42" ht="20" customHeight="1" s="1">
      <c r="A42" s="16" t="inlineStr">
        <is>
          <t>20792</t>
        </is>
      </c>
      <c r="B42" s="17" t="inlineStr">
        <is>
          <t>NUR GİDA</t>
        </is>
      </c>
      <c r="C42" s="16" t="inlineStr">
        <is>
          <t>8699444267999</t>
        </is>
      </c>
      <c r="D42" s="17" t="inlineStr">
        <is>
          <t>Effective Antiperspirant Men CLASS 150 ml</t>
        </is>
      </c>
      <c r="E42" s="18" t="n">
        <v>3.6</v>
      </c>
      <c r="F42" s="18" t="n">
        <v>24</v>
      </c>
      <c r="G42" s="18" t="n">
        <v>225</v>
      </c>
      <c r="H42" s="18" t="n"/>
      <c r="I42" s="18" t="n"/>
      <c r="J42" s="18" t="n"/>
      <c r="K42" s="19" t="n"/>
      <c r="L42" s="19" t="n"/>
      <c r="M42" s="20" t="n"/>
      <c r="N42" s="20" t="n">
        <v>50</v>
      </c>
      <c r="O42" s="20" t="n"/>
      <c r="P42" s="20">
        <f>O42-N42</f>
        <v/>
      </c>
      <c r="Q42" s="20">
        <f>P42*E42</f>
        <v/>
      </c>
      <c r="R42" s="20" t="n"/>
    </row>
    <row r="43" ht="20" customHeight="1" s="1">
      <c r="A43" s="21" t="inlineStr">
        <is>
          <t>19818</t>
        </is>
      </c>
      <c r="B43" s="22" t="inlineStr">
        <is>
          <t>NUR GİDA</t>
        </is>
      </c>
      <c r="C43" s="21" t="inlineStr">
        <is>
          <t>8699444267692</t>
        </is>
      </c>
      <c r="D43" s="22" t="inlineStr">
        <is>
          <t>Effective Antiperspirant Men DEFENCE 150 ml</t>
        </is>
      </c>
      <c r="E43" s="23" t="n">
        <v>3.6</v>
      </c>
      <c r="F43" s="23" t="n">
        <v>24</v>
      </c>
      <c r="G43" s="23" t="n">
        <v>155</v>
      </c>
      <c r="H43" s="23" t="n"/>
      <c r="I43" s="23" t="n">
        <v>155</v>
      </c>
      <c r="J43" s="23" t="n"/>
      <c r="K43" s="19">
        <f>H43+I43+J43</f>
        <v/>
      </c>
      <c r="L43" s="19">
        <f>K43-G43</f>
        <v/>
      </c>
      <c r="M43" s="20">
        <f>L43*E43</f>
        <v/>
      </c>
      <c r="N43" s="20" t="n">
        <v>50</v>
      </c>
      <c r="O43" s="20" t="n"/>
      <c r="P43" s="20">
        <f>O43-N43</f>
        <v/>
      </c>
      <c r="Q43" s="20">
        <f>P43*E43</f>
        <v/>
      </c>
      <c r="R43" s="20" t="n"/>
    </row>
    <row r="44" ht="20" customHeight="1" s="1">
      <c r="A44" s="21" t="inlineStr">
        <is>
          <t>19820</t>
        </is>
      </c>
      <c r="B44" s="22" t="inlineStr">
        <is>
          <t>NUR GİDA</t>
        </is>
      </c>
      <c r="C44" s="21" t="inlineStr">
        <is>
          <t>8699444267715</t>
        </is>
      </c>
      <c r="D44" s="22" t="inlineStr">
        <is>
          <t>Effective Antiperspirant Men GUARD 150 ml</t>
        </is>
      </c>
      <c r="E44" s="23" t="n">
        <v>3.6</v>
      </c>
      <c r="F44" s="23" t="n">
        <v>24</v>
      </c>
      <c r="G44" s="23" t="n">
        <v>362</v>
      </c>
      <c r="H44" s="23" t="n"/>
      <c r="I44" s="23" t="n"/>
      <c r="J44" s="23" t="n"/>
      <c r="K44" s="19" t="n"/>
      <c r="L44" s="19" t="n"/>
      <c r="M44" s="20" t="n"/>
      <c r="N44" s="20" t="n">
        <v>50</v>
      </c>
      <c r="O44" s="20" t="n"/>
      <c r="P44" s="20">
        <f>O44-N44</f>
        <v/>
      </c>
      <c r="Q44" s="20">
        <f>P44*E44</f>
        <v/>
      </c>
      <c r="R44" s="20" t="n"/>
    </row>
    <row r="45" ht="20" customHeight="1" s="1">
      <c r="A45" s="21" t="inlineStr">
        <is>
          <t>20791</t>
        </is>
      </c>
      <c r="B45" s="22" t="inlineStr">
        <is>
          <t>NUR GİDA</t>
        </is>
      </c>
      <c r="C45" s="21" t="inlineStr">
        <is>
          <t>8699444267982</t>
        </is>
      </c>
      <c r="D45" s="22" t="inlineStr">
        <is>
          <t>Effective Antiperspirant Men KING 150 ml</t>
        </is>
      </c>
      <c r="E45" s="23" t="n">
        <v>3.6</v>
      </c>
      <c r="F45" s="23" t="n">
        <v>24</v>
      </c>
      <c r="G45" s="23" t="n">
        <v>123</v>
      </c>
      <c r="H45" s="23" t="n">
        <v>1</v>
      </c>
      <c r="I45" s="23" t="n">
        <v>122</v>
      </c>
      <c r="J45" s="23" t="n"/>
      <c r="K45" s="19">
        <f>H45+I45+J45</f>
        <v/>
      </c>
      <c r="L45" s="19">
        <f>K45-G45</f>
        <v/>
      </c>
      <c r="M45" s="20">
        <f>L45*E45</f>
        <v/>
      </c>
      <c r="N45" s="20" t="n">
        <v>50</v>
      </c>
      <c r="O45" s="20" t="n"/>
      <c r="P45" s="20">
        <f>O45-N45</f>
        <v/>
      </c>
      <c r="Q45" s="20">
        <f>P45*E45</f>
        <v/>
      </c>
      <c r="R45" s="20" t="n"/>
    </row>
    <row r="46" ht="20" customHeight="1" s="1">
      <c r="A46" s="16" t="inlineStr">
        <is>
          <t>20834</t>
        </is>
      </c>
      <c r="B46" s="17" t="inlineStr">
        <is>
          <t>NUR GİDA</t>
        </is>
      </c>
      <c r="C46" s="16" t="inlineStr">
        <is>
          <t>8699444267968</t>
        </is>
      </c>
      <c r="D46" s="17" t="inlineStr">
        <is>
          <t>Effective Antiperspirant Women BLOOM 150 ml</t>
        </is>
      </c>
      <c r="E46" s="18" t="n">
        <v>3.6</v>
      </c>
      <c r="F46" s="18" t="n">
        <v>24</v>
      </c>
      <c r="G46" s="18" t="n">
        <v>185</v>
      </c>
      <c r="H46" s="18" t="n"/>
      <c r="I46" s="18" t="n">
        <v>185</v>
      </c>
      <c r="J46" s="18" t="n"/>
      <c r="K46" s="19">
        <f>H46+I46+J46</f>
        <v/>
      </c>
      <c r="L46" s="19">
        <f>K46-G46</f>
        <v/>
      </c>
      <c r="M46" s="20">
        <f>L46*E46</f>
        <v/>
      </c>
      <c r="N46" s="20" t="n">
        <v>50</v>
      </c>
      <c r="O46" s="20" t="n"/>
      <c r="P46" s="20">
        <f>O46-N46</f>
        <v/>
      </c>
      <c r="Q46" s="20">
        <f>P46*E46</f>
        <v/>
      </c>
      <c r="R46" s="20" t="n"/>
    </row>
    <row r="47" ht="20" customHeight="1" s="1">
      <c r="A47" s="21" t="inlineStr">
        <is>
          <t>20835</t>
        </is>
      </c>
      <c r="B47" s="22" t="inlineStr">
        <is>
          <t>NUR GİDA</t>
        </is>
      </c>
      <c r="C47" s="21" t="inlineStr">
        <is>
          <t>8699444267951</t>
        </is>
      </c>
      <c r="D47" s="22" t="inlineStr">
        <is>
          <t>Effective Antiperspirant Women CHARMY 150 ml</t>
        </is>
      </c>
      <c r="E47" s="23" t="n">
        <v>3.6</v>
      </c>
      <c r="F47" s="23" t="n">
        <v>24</v>
      </c>
      <c r="G47" s="23" t="n">
        <v>196</v>
      </c>
      <c r="H47" s="23" t="n"/>
      <c r="I47" s="23" t="n">
        <v>196</v>
      </c>
      <c r="J47" s="23" t="n"/>
      <c r="K47" s="19">
        <f>H47+I47+J47</f>
        <v/>
      </c>
      <c r="L47" s="19">
        <f>K47-G47</f>
        <v/>
      </c>
      <c r="M47" s="20">
        <f>L47*E47</f>
        <v/>
      </c>
      <c r="N47" s="20" t="n">
        <v>50</v>
      </c>
      <c r="O47" s="20" t="n"/>
      <c r="P47" s="20">
        <f>O47-N47</f>
        <v/>
      </c>
      <c r="Q47" s="20">
        <f>P47*E47</f>
        <v/>
      </c>
      <c r="R47" s="20" t="n"/>
    </row>
    <row r="48" ht="20" customHeight="1" s="1">
      <c r="A48" s="21" t="inlineStr">
        <is>
          <t>20352</t>
        </is>
      </c>
      <c r="B48" s="22" t="inlineStr">
        <is>
          <t>NUR GİDA</t>
        </is>
      </c>
      <c r="C48" s="21" t="inlineStr">
        <is>
          <t>8699444267722</t>
        </is>
      </c>
      <c r="D48" s="22" t="inlineStr">
        <is>
          <t>Effective Antiperspirant Women CREAMY 150 ml</t>
        </is>
      </c>
      <c r="E48" s="23" t="n">
        <v>3.6</v>
      </c>
      <c r="F48" s="23" t="n">
        <v>24</v>
      </c>
      <c r="G48" s="23" t="n">
        <v>88</v>
      </c>
      <c r="H48" s="23" t="n"/>
      <c r="I48" s="23" t="n">
        <v>88</v>
      </c>
      <c r="J48" s="23" t="n"/>
      <c r="K48" s="19">
        <f>H48+I48+J48</f>
        <v/>
      </c>
      <c r="L48" s="19">
        <f>K48-G48</f>
        <v/>
      </c>
      <c r="M48" s="20">
        <f>L48*E48</f>
        <v/>
      </c>
      <c r="N48" s="20" t="n">
        <v>50</v>
      </c>
      <c r="O48" s="20" t="n"/>
      <c r="P48" s="20">
        <f>O48-N48</f>
        <v/>
      </c>
      <c r="Q48" s="20">
        <f>P48*E48</f>
        <v/>
      </c>
      <c r="R48" s="20" t="n"/>
    </row>
    <row r="49" ht="20" customHeight="1" s="1">
      <c r="A49" s="21" t="inlineStr">
        <is>
          <t>20354</t>
        </is>
      </c>
      <c r="B49" s="22" t="inlineStr">
        <is>
          <t>NUR GİDA</t>
        </is>
      </c>
      <c r="C49" s="21" t="inlineStr">
        <is>
          <t>8699444267753</t>
        </is>
      </c>
      <c r="D49" s="22" t="inlineStr">
        <is>
          <t>Effective Antiperspirant Women FRESH 150 ml</t>
        </is>
      </c>
      <c r="E49" s="23" t="n">
        <v>3.6</v>
      </c>
      <c r="F49" s="23" t="n">
        <v>24</v>
      </c>
      <c r="G49" s="23" t="n">
        <v>206</v>
      </c>
      <c r="H49" s="23" t="n"/>
      <c r="I49" s="23" t="n">
        <v>206</v>
      </c>
      <c r="J49" s="23" t="n"/>
      <c r="K49" s="19">
        <f>H49+I49+J49</f>
        <v/>
      </c>
      <c r="L49" s="19">
        <f>K49-G49</f>
        <v/>
      </c>
      <c r="M49" s="20">
        <f>L49*E49</f>
        <v/>
      </c>
      <c r="N49" s="20" t="n">
        <v>50</v>
      </c>
      <c r="O49" s="20" t="n"/>
      <c r="P49" s="20">
        <f>O49-N49</f>
        <v/>
      </c>
      <c r="Q49" s="20">
        <f>P49*E49</f>
        <v/>
      </c>
      <c r="R49" s="20" t="n"/>
    </row>
    <row r="50" ht="20" customHeight="1" s="1">
      <c r="A50" s="16" t="inlineStr">
        <is>
          <t>20353</t>
        </is>
      </c>
      <c r="B50" s="17" t="inlineStr">
        <is>
          <t>NUR GİDA</t>
        </is>
      </c>
      <c r="C50" s="16" t="inlineStr">
        <is>
          <t>8699444267746</t>
        </is>
      </c>
      <c r="D50" s="17" t="inlineStr">
        <is>
          <t>Effective Antiperspirant Women PEARL 150 ml</t>
        </is>
      </c>
      <c r="E50" s="18" t="n">
        <v>3.6</v>
      </c>
      <c r="F50" s="18" t="n">
        <v>24</v>
      </c>
      <c r="G50" s="18" t="n">
        <v>165</v>
      </c>
      <c r="H50" s="18" t="n"/>
      <c r="I50" s="18" t="n">
        <v>165</v>
      </c>
      <c r="J50" s="18" t="n"/>
      <c r="K50" s="19">
        <f>H50+I50+J50</f>
        <v/>
      </c>
      <c r="L50" s="19">
        <f>K50-G50</f>
        <v/>
      </c>
      <c r="M50" s="20">
        <f>L50*E50</f>
        <v/>
      </c>
      <c r="N50" s="20" t="n">
        <v>50</v>
      </c>
      <c r="O50" s="20" t="n"/>
      <c r="P50" s="20">
        <f>O50-N50</f>
        <v/>
      </c>
      <c r="Q50" s="20">
        <f>P50*E50</f>
        <v/>
      </c>
      <c r="R50" s="20" t="n"/>
    </row>
    <row r="51" ht="20" customHeight="1" s="1">
      <c r="A51" s="16" t="inlineStr">
        <is>
          <t>20836</t>
        </is>
      </c>
      <c r="B51" s="17" t="inlineStr">
        <is>
          <t>NUR GİDA</t>
        </is>
      </c>
      <c r="C51" s="16" t="inlineStr">
        <is>
          <t>8699444267944</t>
        </is>
      </c>
      <c r="D51" s="17" t="inlineStr">
        <is>
          <t>Effective Antiperspirant Women SENSUAL 150 ml</t>
        </is>
      </c>
      <c r="E51" s="18" t="n">
        <v>3.6</v>
      </c>
      <c r="F51" s="18" t="n">
        <v>24</v>
      </c>
      <c r="G51" s="18" t="n">
        <v>162</v>
      </c>
      <c r="H51" s="18" t="n"/>
      <c r="I51" s="18" t="n">
        <v>161</v>
      </c>
      <c r="J51" s="18" t="n">
        <v>1</v>
      </c>
      <c r="K51" s="19">
        <f>H51+I51+J51</f>
        <v/>
      </c>
      <c r="L51" s="19">
        <f>K51-G51</f>
        <v/>
      </c>
      <c r="M51" s="20">
        <f>L51*E51</f>
        <v/>
      </c>
      <c r="N51" s="20" t="n">
        <v>50</v>
      </c>
      <c r="O51" s="20" t="n"/>
      <c r="P51" s="20">
        <f>O51-N51</f>
        <v/>
      </c>
      <c r="Q51" s="20">
        <f>P51*E51</f>
        <v/>
      </c>
      <c r="R51" s="20" t="n"/>
    </row>
    <row r="52" ht="20" customHeight="1" s="1">
      <c r="A52" s="21" t="inlineStr">
        <is>
          <t>10529</t>
        </is>
      </c>
      <c r="B52" s="22" t="inlineStr">
        <is>
          <t>NUR GİDA</t>
        </is>
      </c>
      <c r="C52" s="21" t="inlineStr">
        <is>
          <t>8699444263243</t>
        </is>
      </c>
      <c r="D52" s="22" t="inlineStr">
        <is>
          <t>Effective Dezo Crustal Women 150 ml</t>
        </is>
      </c>
      <c r="E52" s="23" t="n">
        <v>2.25</v>
      </c>
      <c r="F52" s="23" t="n">
        <v>48</v>
      </c>
      <c r="G52" s="23" t="n">
        <v>7</v>
      </c>
      <c r="H52" s="23" t="n"/>
      <c r="I52" s="23" t="n">
        <v>7</v>
      </c>
      <c r="J52" s="23" t="n"/>
      <c r="K52" s="19">
        <f>H52+I52+J52</f>
        <v/>
      </c>
      <c r="L52" s="19">
        <f>K52-G52</f>
        <v/>
      </c>
      <c r="M52" s="20">
        <f>L52*E52</f>
        <v/>
      </c>
      <c r="N52" s="20" t="n">
        <v>50</v>
      </c>
      <c r="O52" s="20" t="n"/>
      <c r="P52" s="20">
        <f>O52-N52</f>
        <v/>
      </c>
      <c r="Q52" s="20">
        <f>P52*E52</f>
        <v/>
      </c>
      <c r="R52" s="20" t="n"/>
    </row>
    <row r="53" ht="20" customHeight="1" s="1">
      <c r="A53" s="16" t="inlineStr">
        <is>
          <t>11399</t>
        </is>
      </c>
      <c r="B53" s="17" t="inlineStr">
        <is>
          <t>NUR GİDA</t>
        </is>
      </c>
      <c r="C53" s="16" t="inlineStr">
        <is>
          <t>8699444261836</t>
        </is>
      </c>
      <c r="D53" s="17" t="inlineStr">
        <is>
          <t>Effective Dezo Extreme Men 150 ml</t>
        </is>
      </c>
      <c r="E53" s="18" t="n">
        <v>2.5</v>
      </c>
      <c r="F53" s="18" t="n">
        <v>48</v>
      </c>
      <c r="G53" s="18" t="n">
        <v>341</v>
      </c>
      <c r="H53" s="18" t="n"/>
      <c r="I53" s="18" t="n">
        <v>341</v>
      </c>
      <c r="J53" s="18" t="n"/>
      <c r="K53" s="19">
        <f>H53+I53+J53</f>
        <v/>
      </c>
      <c r="L53" s="19">
        <f>K53-G53</f>
        <v/>
      </c>
      <c r="M53" s="20">
        <f>L53*E53</f>
        <v/>
      </c>
      <c r="N53" s="20" t="n">
        <v>50</v>
      </c>
      <c r="O53" s="20" t="n"/>
      <c r="P53" s="20">
        <f>O53-N53</f>
        <v/>
      </c>
      <c r="Q53" s="20">
        <f>P53*E53</f>
        <v/>
      </c>
      <c r="R53" s="20" t="n"/>
    </row>
    <row r="54" ht="20" customHeight="1" s="1">
      <c r="A54" s="16" t="inlineStr">
        <is>
          <t>10398</t>
        </is>
      </c>
      <c r="B54" s="17" t="inlineStr">
        <is>
          <t>NUR GİDA</t>
        </is>
      </c>
      <c r="C54" s="16" t="inlineStr">
        <is>
          <t>8699444261195</t>
        </is>
      </c>
      <c r="D54" s="17" t="inlineStr">
        <is>
          <t>Effective Dezo Freedom Men 150 ml</t>
        </is>
      </c>
      <c r="E54" s="18" t="n">
        <v>2.5</v>
      </c>
      <c r="F54" s="18" t="n">
        <v>48</v>
      </c>
      <c r="G54" s="18" t="n">
        <v>2</v>
      </c>
      <c r="H54" s="18" t="n"/>
      <c r="I54" s="18" t="n">
        <v>2</v>
      </c>
      <c r="J54" s="18" t="n"/>
      <c r="K54" s="19">
        <f>H54+I54+J54</f>
        <v/>
      </c>
      <c r="L54" s="19">
        <f>K54-G54</f>
        <v/>
      </c>
      <c r="M54" s="20">
        <f>L54*E54</f>
        <v/>
      </c>
      <c r="N54" s="20" t="n">
        <v>50</v>
      </c>
      <c r="O54" s="20" t="n"/>
      <c r="P54" s="20">
        <f>O54-N54</f>
        <v/>
      </c>
      <c r="Q54" s="20">
        <f>P54*E54</f>
        <v/>
      </c>
      <c r="R54" s="20" t="n"/>
    </row>
    <row r="55" ht="20" customHeight="1" s="1">
      <c r="A55" s="16" t="inlineStr">
        <is>
          <t>10593</t>
        </is>
      </c>
      <c r="B55" s="17" t="inlineStr">
        <is>
          <t>NUR GİDA</t>
        </is>
      </c>
      <c r="C55" s="16" t="inlineStr">
        <is>
          <t>8699444261904</t>
        </is>
      </c>
      <c r="D55" s="17" t="inlineStr">
        <is>
          <t>Effective Dezo Lover Men 150 ml</t>
        </is>
      </c>
      <c r="E55" s="18" t="n">
        <v>2.25</v>
      </c>
      <c r="F55" s="18" t="n">
        <v>48</v>
      </c>
      <c r="G55" s="18" t="n">
        <v>5</v>
      </c>
      <c r="H55" s="18" t="n"/>
      <c r="I55" s="18" t="n">
        <v>5</v>
      </c>
      <c r="J55" s="18" t="n"/>
      <c r="K55" s="19">
        <f>H55+I55+J55</f>
        <v/>
      </c>
      <c r="L55" s="19">
        <f>K55-G55</f>
        <v/>
      </c>
      <c r="M55" s="20">
        <f>L55*E55</f>
        <v/>
      </c>
      <c r="N55" s="20" t="n">
        <v>50</v>
      </c>
      <c r="O55" s="20" t="n"/>
      <c r="P55" s="20">
        <f>O55-N55</f>
        <v/>
      </c>
      <c r="Q55" s="20">
        <f>P55*E55</f>
        <v/>
      </c>
      <c r="R55" s="20" t="n"/>
    </row>
    <row r="56" ht="20" customHeight="1" s="1">
      <c r="A56" s="16" t="inlineStr">
        <is>
          <t>19802</t>
        </is>
      </c>
      <c r="B56" s="17" t="inlineStr">
        <is>
          <t>NUR GİDA</t>
        </is>
      </c>
      <c r="C56" s="16" t="inlineStr">
        <is>
          <t>8699444267425</t>
        </is>
      </c>
      <c r="D56" s="17" t="inlineStr">
        <is>
          <t>Effective Dezo Men ACTION 150 ml</t>
        </is>
      </c>
      <c r="E56" s="18" t="n">
        <v>3.6</v>
      </c>
      <c r="F56" s="18" t="n">
        <v>24</v>
      </c>
      <c r="G56" s="18" t="n">
        <v>52</v>
      </c>
      <c r="H56" s="18" t="n"/>
      <c r="I56" s="18" t="n">
        <v>52</v>
      </c>
      <c r="J56" s="18" t="n"/>
      <c r="K56" s="19">
        <f>H56+I56+J56</f>
        <v/>
      </c>
      <c r="L56" s="19">
        <f>K56-G56</f>
        <v/>
      </c>
      <c r="M56" s="20">
        <f>L56*E56</f>
        <v/>
      </c>
      <c r="N56" s="20" t="n">
        <v>50</v>
      </c>
      <c r="O56" s="20" t="n"/>
      <c r="P56" s="20">
        <f>O56-N56</f>
        <v/>
      </c>
      <c r="Q56" s="20">
        <f>P56*E56</f>
        <v/>
      </c>
      <c r="R56" s="20" t="n"/>
    </row>
    <row r="57" ht="20" customHeight="1" s="1">
      <c r="A57" s="21" t="inlineStr">
        <is>
          <t>19799</t>
        </is>
      </c>
      <c r="B57" s="22" t="inlineStr">
        <is>
          <t>NUR GİDA</t>
        </is>
      </c>
      <c r="C57" s="21" t="inlineStr">
        <is>
          <t>8699444267395</t>
        </is>
      </c>
      <c r="D57" s="22" t="inlineStr">
        <is>
          <t>Effective Dezo Men CHAOS FOR HIM 150 ml</t>
        </is>
      </c>
      <c r="E57" s="23" t="n">
        <v>3.6</v>
      </c>
      <c r="F57" s="23" t="n">
        <v>24</v>
      </c>
      <c r="G57" s="23" t="n">
        <v>74</v>
      </c>
      <c r="H57" s="23" t="n"/>
      <c r="I57" s="23" t="n">
        <v>74</v>
      </c>
      <c r="J57" s="23" t="n"/>
      <c r="K57" s="19">
        <f>H57+I57+J57</f>
        <v/>
      </c>
      <c r="L57" s="19">
        <f>K57-G57</f>
        <v/>
      </c>
      <c r="M57" s="20">
        <f>L57*E57</f>
        <v/>
      </c>
      <c r="N57" s="20" t="n">
        <v>50</v>
      </c>
      <c r="O57" s="20" t="n"/>
      <c r="P57" s="20">
        <f>O57-N57</f>
        <v/>
      </c>
      <c r="Q57" s="20">
        <f>P57*E57</f>
        <v/>
      </c>
      <c r="R57" s="20" t="n"/>
    </row>
    <row r="58" ht="20" customHeight="1" s="1">
      <c r="A58" s="16" t="inlineStr">
        <is>
          <t>19804</t>
        </is>
      </c>
      <c r="B58" s="17" t="inlineStr">
        <is>
          <t>NUR GİDA</t>
        </is>
      </c>
      <c r="C58" s="16" t="inlineStr">
        <is>
          <t>8699444267456</t>
        </is>
      </c>
      <c r="D58" s="17" t="inlineStr">
        <is>
          <t>Effective Dezo Men CROC 150 ml</t>
        </is>
      </c>
      <c r="E58" s="18" t="n">
        <v>3.6</v>
      </c>
      <c r="F58" s="18" t="n">
        <v>24</v>
      </c>
      <c r="G58" s="18" t="n">
        <v>92</v>
      </c>
      <c r="H58" s="18" t="n">
        <v>2</v>
      </c>
      <c r="I58" s="18" t="n">
        <v>90</v>
      </c>
      <c r="J58" s="18" t="n"/>
      <c r="K58" s="19">
        <f>H58+I58+J58</f>
        <v/>
      </c>
      <c r="L58" s="19">
        <f>K58-G58</f>
        <v/>
      </c>
      <c r="M58" s="20">
        <f>L58*E58</f>
        <v/>
      </c>
      <c r="N58" s="20" t="n">
        <v>50</v>
      </c>
      <c r="O58" s="20" t="n"/>
      <c r="P58" s="20">
        <f>O58-N58</f>
        <v/>
      </c>
      <c r="Q58" s="20">
        <f>P58*E58</f>
        <v/>
      </c>
      <c r="R58" s="20" t="n"/>
    </row>
    <row r="59" ht="20" customHeight="1" s="1">
      <c r="A59" s="21" t="inlineStr">
        <is>
          <t>19801</t>
        </is>
      </c>
      <c r="B59" s="22" t="inlineStr">
        <is>
          <t>NUR GİDA</t>
        </is>
      </c>
      <c r="C59" s="21" t="inlineStr">
        <is>
          <t>8699444267418</t>
        </is>
      </c>
      <c r="D59" s="22" t="inlineStr">
        <is>
          <t>Effective Dezo Men FINISH 150 ml</t>
        </is>
      </c>
      <c r="E59" s="23" t="n">
        <v>3.6</v>
      </c>
      <c r="F59" s="23" t="n">
        <v>24</v>
      </c>
      <c r="G59" s="23" t="n">
        <v>47</v>
      </c>
      <c r="H59" s="23" t="n"/>
      <c r="I59" s="23" t="n"/>
      <c r="J59" s="23" t="n"/>
      <c r="K59" s="19" t="n"/>
      <c r="L59" s="19" t="n"/>
      <c r="M59" s="20" t="n"/>
      <c r="N59" s="20" t="n">
        <v>50</v>
      </c>
      <c r="O59" s="20" t="n"/>
      <c r="P59" s="20">
        <f>O59-N59</f>
        <v/>
      </c>
      <c r="Q59" s="20">
        <f>P59*E59</f>
        <v/>
      </c>
      <c r="R59" s="20" t="n"/>
    </row>
    <row r="60" ht="20" customHeight="1" s="1">
      <c r="A60" s="16" t="inlineStr">
        <is>
          <t>19806</t>
        </is>
      </c>
      <c r="B60" s="17" t="inlineStr">
        <is>
          <t>NUR GİDA</t>
        </is>
      </c>
      <c r="C60" s="16" t="inlineStr">
        <is>
          <t>8699444267449</t>
        </is>
      </c>
      <c r="D60" s="17" t="inlineStr">
        <is>
          <t>Effective Dezo Men GAME 150 ml</t>
        </is>
      </c>
      <c r="E60" s="18" t="n">
        <v>3.6</v>
      </c>
      <c r="F60" s="18" t="n">
        <v>24</v>
      </c>
      <c r="G60" s="18" t="n">
        <v>121</v>
      </c>
      <c r="H60" s="18" t="n"/>
      <c r="I60" s="18" t="n">
        <v>121</v>
      </c>
      <c r="J60" s="18" t="n"/>
      <c r="K60" s="19">
        <f>H60+I60+J60</f>
        <v/>
      </c>
      <c r="L60" s="19">
        <f>K60-G60</f>
        <v/>
      </c>
      <c r="M60" s="20">
        <f>L60*E60</f>
        <v/>
      </c>
      <c r="N60" s="20" t="n">
        <v>50</v>
      </c>
      <c r="O60" s="20" t="n"/>
      <c r="P60" s="20">
        <f>O60-N60</f>
        <v/>
      </c>
      <c r="Q60" s="20">
        <f>P60*E60</f>
        <v/>
      </c>
      <c r="R60" s="20" t="n"/>
    </row>
    <row r="61" ht="20" customHeight="1" s="1">
      <c r="A61" s="21" t="inlineStr">
        <is>
          <t>19803</t>
        </is>
      </c>
      <c r="B61" s="22" t="inlineStr">
        <is>
          <t>NUR GİDA</t>
        </is>
      </c>
      <c r="C61" s="21" t="inlineStr">
        <is>
          <t>8699444267432</t>
        </is>
      </c>
      <c r="D61" s="22" t="inlineStr">
        <is>
          <t>Effective Dezo Men GHOST 150 mlc</t>
        </is>
      </c>
      <c r="E61" s="23" t="n">
        <v>3.6</v>
      </c>
      <c r="F61" s="23" t="n">
        <v>24</v>
      </c>
      <c r="G61" s="23" t="n">
        <v>181</v>
      </c>
      <c r="H61" s="23" t="n"/>
      <c r="I61" s="23" t="n">
        <v>181</v>
      </c>
      <c r="J61" s="23" t="n"/>
      <c r="K61" s="19">
        <f>H61+I61+J61</f>
        <v/>
      </c>
      <c r="L61" s="19">
        <f>K61-G61</f>
        <v/>
      </c>
      <c r="M61" s="20">
        <f>L61*E61</f>
        <v/>
      </c>
      <c r="N61" s="20" t="n">
        <v>50</v>
      </c>
      <c r="O61" s="20" t="n"/>
      <c r="P61" s="20">
        <f>O61-N61</f>
        <v/>
      </c>
      <c r="Q61" s="20">
        <f>P61*E61</f>
        <v/>
      </c>
      <c r="R61" s="20" t="n"/>
    </row>
    <row r="62" ht="20" customHeight="1" s="1">
      <c r="A62" s="21" t="inlineStr">
        <is>
          <t>19807</t>
        </is>
      </c>
      <c r="B62" s="22" t="inlineStr">
        <is>
          <t>NUR GİDA</t>
        </is>
      </c>
      <c r="C62" s="21" t="inlineStr">
        <is>
          <t>8699444267487</t>
        </is>
      </c>
      <c r="D62" s="22" t="inlineStr">
        <is>
          <t>Effective Dezo Men LEGEND 150 ml</t>
        </is>
      </c>
      <c r="E62" s="23" t="n">
        <v>3.6</v>
      </c>
      <c r="F62" s="23" t="n">
        <v>24</v>
      </c>
      <c r="G62" s="23" t="n">
        <v>182</v>
      </c>
      <c r="H62" s="23" t="n"/>
      <c r="I62" s="23" t="n">
        <v>182</v>
      </c>
      <c r="J62" s="23" t="n"/>
      <c r="K62" s="19">
        <f>H62+I62+J62</f>
        <v/>
      </c>
      <c r="L62" s="19">
        <f>K62-G62</f>
        <v/>
      </c>
      <c r="M62" s="20">
        <f>L62*E62</f>
        <v/>
      </c>
      <c r="N62" s="20" t="n">
        <v>50</v>
      </c>
      <c r="O62" s="20" t="n"/>
      <c r="P62" s="20">
        <f>O62-N62</f>
        <v/>
      </c>
      <c r="Q62" s="20">
        <f>P62*E62</f>
        <v/>
      </c>
      <c r="R62" s="20" t="n"/>
    </row>
    <row r="63" ht="20" customHeight="1" s="1">
      <c r="A63" s="16" t="inlineStr">
        <is>
          <t>19808</t>
        </is>
      </c>
      <c r="B63" s="17" t="inlineStr">
        <is>
          <t>NUR GİDA</t>
        </is>
      </c>
      <c r="C63" s="16" t="inlineStr">
        <is>
          <t>8699444267470</t>
        </is>
      </c>
      <c r="D63" s="17" t="inlineStr">
        <is>
          <t>Effective Dezo Men ROYAL 150 ml</t>
        </is>
      </c>
      <c r="E63" s="18" t="n">
        <v>3.6</v>
      </c>
      <c r="F63" s="18" t="n">
        <v>24</v>
      </c>
      <c r="G63" s="18" t="n">
        <v>79</v>
      </c>
      <c r="H63" s="18" t="n"/>
      <c r="I63" s="18" t="n">
        <v>79</v>
      </c>
      <c r="J63" s="18" t="n"/>
      <c r="K63" s="19">
        <f>H63+I63+J63</f>
        <v/>
      </c>
      <c r="L63" s="19">
        <f>K63-G63</f>
        <v/>
      </c>
      <c r="M63" s="20">
        <f>L63*E63</f>
        <v/>
      </c>
      <c r="N63" s="20" t="n">
        <v>50</v>
      </c>
      <c r="O63" s="20" t="n"/>
      <c r="P63" s="20">
        <f>O63-N63</f>
        <v/>
      </c>
      <c r="Q63" s="20">
        <f>P63*E63</f>
        <v/>
      </c>
      <c r="R63" s="20" t="n"/>
    </row>
    <row r="64" ht="20" customHeight="1" s="1">
      <c r="A64" s="16" t="inlineStr">
        <is>
          <t>19800</t>
        </is>
      </c>
      <c r="B64" s="17" t="inlineStr">
        <is>
          <t>NUR GİDA</t>
        </is>
      </c>
      <c r="C64" s="16" t="inlineStr">
        <is>
          <t>8699444267401</t>
        </is>
      </c>
      <c r="D64" s="17" t="inlineStr">
        <is>
          <t>Effective Dezo Men SPACE 150 ml</t>
        </is>
      </c>
      <c r="E64" s="18" t="n">
        <v>3.6</v>
      </c>
      <c r="F64" s="18" t="n">
        <v>24</v>
      </c>
      <c r="G64" s="18" t="n">
        <v>2</v>
      </c>
      <c r="H64" s="18" t="n"/>
      <c r="I64" s="18" t="n">
        <v>2</v>
      </c>
      <c r="J64" s="18" t="n"/>
      <c r="K64" s="19">
        <f>H64+I64+J64</f>
        <v/>
      </c>
      <c r="L64" s="19">
        <f>K64-G64</f>
        <v/>
      </c>
      <c r="M64" s="20">
        <f>L64*E64</f>
        <v/>
      </c>
      <c r="N64" s="20" t="n">
        <v>50</v>
      </c>
      <c r="O64" s="20" t="n"/>
      <c r="P64" s="20">
        <f>O64-N64</f>
        <v/>
      </c>
      <c r="Q64" s="20">
        <f>P64*E64</f>
        <v/>
      </c>
      <c r="R64" s="20" t="n"/>
    </row>
    <row r="65" ht="20" customHeight="1" s="1">
      <c r="A65" s="21" t="inlineStr">
        <is>
          <t>19805</t>
        </is>
      </c>
      <c r="B65" s="22" t="inlineStr">
        <is>
          <t>NUR GİDA</t>
        </is>
      </c>
      <c r="C65" s="21" t="inlineStr">
        <is>
          <t>8699444267463</t>
        </is>
      </c>
      <c r="D65" s="22" t="inlineStr">
        <is>
          <t>Effective Dezo Men WILD 150 ml</t>
        </is>
      </c>
      <c r="E65" s="23" t="n">
        <v>3.6</v>
      </c>
      <c r="F65" s="23" t="n">
        <v>24</v>
      </c>
      <c r="G65" s="23" t="n">
        <v>47</v>
      </c>
      <c r="H65" s="23" t="n"/>
      <c r="I65" s="23" t="n">
        <v>47</v>
      </c>
      <c r="J65" s="23" t="n"/>
      <c r="K65" s="19">
        <f>H65+I65+J65</f>
        <v/>
      </c>
      <c r="L65" s="19">
        <f>K65-G65</f>
        <v/>
      </c>
      <c r="M65" s="20">
        <f>L65*E65</f>
        <v/>
      </c>
      <c r="N65" s="20" t="n">
        <v>50</v>
      </c>
      <c r="O65" s="20" t="n"/>
      <c r="P65" s="20">
        <f>O65-N65</f>
        <v/>
      </c>
      <c r="Q65" s="20">
        <f>P65*E65</f>
        <v/>
      </c>
      <c r="R65" s="20" t="n"/>
    </row>
    <row r="66" ht="20" customHeight="1" s="1">
      <c r="A66" s="16" t="inlineStr">
        <is>
          <t>10330</t>
        </is>
      </c>
      <c r="B66" s="17" t="inlineStr">
        <is>
          <t>NUR GİDA</t>
        </is>
      </c>
      <c r="C66" s="16" t="inlineStr">
        <is>
          <t>8699444261898</t>
        </is>
      </c>
      <c r="D66" s="17" t="inlineStr">
        <is>
          <t>Effective Dezo New City Men 150 ml</t>
        </is>
      </c>
      <c r="E66" s="18" t="n">
        <v>2.25</v>
      </c>
      <c r="F66" s="18" t="n">
        <v>48</v>
      </c>
      <c r="G66" s="18" t="n">
        <v>5</v>
      </c>
      <c r="H66" s="18" t="n"/>
      <c r="I66" s="18" t="n">
        <v>5</v>
      </c>
      <c r="J66" s="18" t="n"/>
      <c r="K66" s="19">
        <f>H66+I66+J66</f>
        <v/>
      </c>
      <c r="L66" s="19">
        <f>K66-G66</f>
        <v/>
      </c>
      <c r="M66" s="20">
        <f>L66*E66</f>
        <v/>
      </c>
      <c r="N66" s="20" t="n">
        <v>50</v>
      </c>
      <c r="O66" s="20" t="n"/>
      <c r="P66" s="20">
        <f>O66-N66</f>
        <v/>
      </c>
      <c r="Q66" s="20">
        <f>P66*E66</f>
        <v/>
      </c>
      <c r="R66" s="20" t="n"/>
    </row>
    <row r="67" ht="20" customHeight="1" s="1">
      <c r="A67" s="21" t="inlineStr">
        <is>
          <t>10465</t>
        </is>
      </c>
      <c r="B67" s="22" t="inlineStr">
        <is>
          <t>NUR GİDA</t>
        </is>
      </c>
      <c r="C67" s="21" t="inlineStr">
        <is>
          <t>8699444261850</t>
        </is>
      </c>
      <c r="D67" s="22" t="inlineStr">
        <is>
          <t>Effective Dezo Safari Men 150 ml</t>
        </is>
      </c>
      <c r="E67" s="23" t="n">
        <v>2.25</v>
      </c>
      <c r="F67" s="23" t="n">
        <v>48</v>
      </c>
      <c r="G67" s="23" t="n">
        <v>3</v>
      </c>
      <c r="H67" s="23" t="n"/>
      <c r="I67" s="23" t="n">
        <v>3</v>
      </c>
      <c r="J67" s="23" t="n"/>
      <c r="K67" s="19">
        <f>H67+I67+J67</f>
        <v/>
      </c>
      <c r="L67" s="19">
        <f>K67-G67</f>
        <v/>
      </c>
      <c r="M67" s="20">
        <f>L67*E67</f>
        <v/>
      </c>
      <c r="N67" s="20" t="n">
        <v>50</v>
      </c>
      <c r="O67" s="20" t="n"/>
      <c r="P67" s="20">
        <f>O67-N67</f>
        <v/>
      </c>
      <c r="Q67" s="20">
        <f>P67*E67</f>
        <v/>
      </c>
      <c r="R67" s="20" t="n"/>
    </row>
    <row r="68" ht="20" customHeight="1" s="1">
      <c r="A68" s="21" t="inlineStr">
        <is>
          <t>10586</t>
        </is>
      </c>
      <c r="B68" s="22" t="inlineStr">
        <is>
          <t>NUR GİDA</t>
        </is>
      </c>
      <c r="C68" s="21" t="inlineStr">
        <is>
          <t>8699444261881</t>
        </is>
      </c>
      <c r="D68" s="22" t="inlineStr">
        <is>
          <t>Effective Dezo Seaside Men 150 ml</t>
        </is>
      </c>
      <c r="E68" s="23" t="n">
        <v>2.25</v>
      </c>
      <c r="F68" s="23" t="n">
        <v>48</v>
      </c>
      <c r="G68" s="23" t="n">
        <v>1</v>
      </c>
      <c r="H68" s="23" t="n"/>
      <c r="I68" s="23" t="n">
        <v>1</v>
      </c>
      <c r="J68" s="23" t="n"/>
      <c r="K68" s="19">
        <f>H68+I68+J68</f>
        <v/>
      </c>
      <c r="L68" s="19">
        <f>K68-G68</f>
        <v/>
      </c>
      <c r="M68" s="20">
        <f>L68*E68</f>
        <v/>
      </c>
      <c r="N68" s="20" t="n">
        <v>50</v>
      </c>
      <c r="O68" s="20" t="n"/>
      <c r="P68" s="20">
        <f>O68-N68</f>
        <v/>
      </c>
      <c r="Q68" s="20">
        <f>P68*E68</f>
        <v/>
      </c>
      <c r="R68" s="20" t="n"/>
    </row>
    <row r="69" ht="20" customHeight="1" s="1">
      <c r="A69" s="21" t="inlineStr">
        <is>
          <t>11616</t>
        </is>
      </c>
      <c r="B69" s="22" t="inlineStr">
        <is>
          <t>NUR GİDA</t>
        </is>
      </c>
      <c r="C69" s="21" t="inlineStr">
        <is>
          <t>8699444261843</t>
        </is>
      </c>
      <c r="D69" s="22" t="inlineStr">
        <is>
          <t>Effective Dezo Sport Men 150 ml</t>
        </is>
      </c>
      <c r="E69" s="23" t="n">
        <v>2.5</v>
      </c>
      <c r="F69" s="23" t="n">
        <v>48</v>
      </c>
      <c r="G69" s="23" t="n">
        <v>4</v>
      </c>
      <c r="H69" s="23" t="n"/>
      <c r="I69" s="23" t="n">
        <v>4</v>
      </c>
      <c r="J69" s="23" t="n"/>
      <c r="K69" s="19">
        <f>H69+I69+J69</f>
        <v/>
      </c>
      <c r="L69" s="19">
        <f>K69-G69</f>
        <v/>
      </c>
      <c r="M69" s="20">
        <f>L69*E69</f>
        <v/>
      </c>
      <c r="N69" s="20" t="n">
        <v>50</v>
      </c>
      <c r="O69" s="20" t="n"/>
      <c r="P69" s="20">
        <f>O69-N69</f>
        <v/>
      </c>
      <c r="Q69" s="20">
        <f>P69*E69</f>
        <v/>
      </c>
      <c r="R69" s="20" t="n"/>
    </row>
    <row r="70" ht="20" customHeight="1" s="1">
      <c r="A70" s="21" t="inlineStr">
        <is>
          <t>19790</t>
        </is>
      </c>
      <c r="B70" s="22" t="inlineStr">
        <is>
          <t>NUR GİDA</t>
        </is>
      </c>
      <c r="C70" s="21" t="inlineStr">
        <is>
          <t>8699444267531</t>
        </is>
      </c>
      <c r="D70" s="22" t="inlineStr">
        <is>
          <t>Effective Dezo Women BEIGHT 150 ml</t>
        </is>
      </c>
      <c r="E70" s="23" t="n">
        <v>3.6</v>
      </c>
      <c r="F70" s="23" t="n">
        <v>24</v>
      </c>
      <c r="G70" s="23" t="n">
        <v>301</v>
      </c>
      <c r="H70" s="23" t="n">
        <v>1</v>
      </c>
      <c r="I70" s="23" t="n">
        <v>300</v>
      </c>
      <c r="J70" s="23" t="n"/>
      <c r="K70" s="19">
        <f>H70+I70+J70</f>
        <v/>
      </c>
      <c r="L70" s="19">
        <f>K70-G70</f>
        <v/>
      </c>
      <c r="M70" s="20">
        <f>L70*E70</f>
        <v/>
      </c>
      <c r="N70" s="20" t="n">
        <v>50</v>
      </c>
      <c r="O70" s="20" t="n"/>
      <c r="P70" s="20">
        <f>O70-N70</f>
        <v/>
      </c>
      <c r="Q70" s="20">
        <f>P70*E70</f>
        <v/>
      </c>
      <c r="R70" s="20" t="n"/>
    </row>
    <row r="71" ht="20" customHeight="1" s="1">
      <c r="A71" s="16" t="inlineStr">
        <is>
          <t>19792</t>
        </is>
      </c>
      <c r="B71" s="17" t="inlineStr">
        <is>
          <t>NUR GİDA</t>
        </is>
      </c>
      <c r="C71" s="16" t="inlineStr">
        <is>
          <t>8699444267555</t>
        </is>
      </c>
      <c r="D71" s="17" t="inlineStr">
        <is>
          <t>Effective Dezo Women KISS 150 ml</t>
        </is>
      </c>
      <c r="E71" s="18" t="n">
        <v>3.6</v>
      </c>
      <c r="F71" s="18" t="n">
        <v>24</v>
      </c>
      <c r="G71" s="18" t="n">
        <v>250</v>
      </c>
      <c r="H71" s="18" t="n"/>
      <c r="I71" s="18" t="n">
        <v>250</v>
      </c>
      <c r="J71" s="18" t="n"/>
      <c r="K71" s="19">
        <f>H71+I71+J71</f>
        <v/>
      </c>
      <c r="L71" s="19">
        <f>K71-G71</f>
        <v/>
      </c>
      <c r="M71" s="20">
        <f>L71*E71</f>
        <v/>
      </c>
      <c r="N71" s="20" t="n">
        <v>50</v>
      </c>
      <c r="O71" s="20" t="n"/>
      <c r="P71" s="20">
        <f>O71-N71</f>
        <v/>
      </c>
      <c r="Q71" s="20">
        <f>P71*E71</f>
        <v/>
      </c>
      <c r="R71" s="20" t="n"/>
    </row>
    <row r="72" ht="20" customHeight="1" s="1">
      <c r="A72" s="16" t="inlineStr">
        <is>
          <t>19798</t>
        </is>
      </c>
      <c r="B72" s="17" t="inlineStr">
        <is>
          <t>NUR GİDA</t>
        </is>
      </c>
      <c r="C72" s="16" t="inlineStr">
        <is>
          <t>8699444267623</t>
        </is>
      </c>
      <c r="D72" s="17" t="inlineStr">
        <is>
          <t>Effective Dezo Women MIMOSA 150 ml</t>
        </is>
      </c>
      <c r="E72" s="18" t="n">
        <v>3.6</v>
      </c>
      <c r="F72" s="18" t="n">
        <v>24</v>
      </c>
      <c r="G72" s="18" t="n">
        <v>174</v>
      </c>
      <c r="H72" s="18" t="n"/>
      <c r="I72" s="18" t="n"/>
      <c r="J72" s="18" t="n"/>
      <c r="K72" s="19" t="n"/>
      <c r="L72" s="19" t="n"/>
      <c r="M72" s="20" t="n"/>
      <c r="N72" s="20" t="n">
        <v>50</v>
      </c>
      <c r="O72" s="20" t="n"/>
      <c r="P72" s="20">
        <f>O72-N72</f>
        <v/>
      </c>
      <c r="Q72" s="20">
        <f>P72*E72</f>
        <v/>
      </c>
      <c r="R72" s="20" t="n"/>
    </row>
    <row r="73" ht="20" customHeight="1" s="1">
      <c r="A73" s="16" t="inlineStr">
        <is>
          <t>19788</t>
        </is>
      </c>
      <c r="B73" s="17" t="inlineStr">
        <is>
          <t>NUR GİDA</t>
        </is>
      </c>
      <c r="C73" s="16" t="inlineStr">
        <is>
          <t>8699444267517</t>
        </is>
      </c>
      <c r="D73" s="17" t="inlineStr">
        <is>
          <t>Effective Dezo Women MIRACLE 150 ml</t>
        </is>
      </c>
      <c r="E73" s="18" t="n">
        <v>3.6</v>
      </c>
      <c r="F73" s="18" t="n">
        <v>24</v>
      </c>
      <c r="G73" s="18" t="n">
        <v>221</v>
      </c>
      <c r="H73" s="18" t="n"/>
      <c r="I73" s="18" t="n"/>
      <c r="J73" s="18" t="n"/>
      <c r="K73" s="19" t="n"/>
      <c r="L73" s="19" t="n"/>
      <c r="M73" s="20" t="n"/>
      <c r="N73" s="20" t="n">
        <v>50</v>
      </c>
      <c r="O73" s="20" t="n"/>
      <c r="P73" s="20">
        <f>O73-N73</f>
        <v/>
      </c>
      <c r="Q73" s="20">
        <f>P73*E73</f>
        <v/>
      </c>
      <c r="R73" s="20" t="n"/>
    </row>
    <row r="74" ht="20" customHeight="1" s="1">
      <c r="A74" s="16" t="inlineStr">
        <is>
          <t>19789</t>
        </is>
      </c>
      <c r="B74" s="17" t="inlineStr">
        <is>
          <t>NUR GİDA</t>
        </is>
      </c>
      <c r="C74" s="16" t="inlineStr">
        <is>
          <t>8699444267586</t>
        </is>
      </c>
      <c r="D74" s="17" t="inlineStr">
        <is>
          <t>Effective Dezo Women PRETTY 150 ml</t>
        </is>
      </c>
      <c r="E74" s="18" t="n">
        <v>3.6</v>
      </c>
      <c r="F74" s="18" t="n">
        <v>24</v>
      </c>
      <c r="G74" s="18" t="n">
        <v>85</v>
      </c>
      <c r="H74" s="18" t="n"/>
      <c r="I74" s="18" t="n">
        <v>85</v>
      </c>
      <c r="J74" s="18" t="n"/>
      <c r="K74" s="19">
        <f>H74+I74+J74</f>
        <v/>
      </c>
      <c r="L74" s="19">
        <f>K74-G74</f>
        <v/>
      </c>
      <c r="M74" s="20">
        <f>L74*E74</f>
        <v/>
      </c>
      <c r="N74" s="20" t="n">
        <v>50</v>
      </c>
      <c r="O74" s="20" t="n"/>
      <c r="P74" s="20">
        <f>O74-N74</f>
        <v/>
      </c>
      <c r="Q74" s="20">
        <f>P74*E74</f>
        <v/>
      </c>
      <c r="R74" s="20" t="n"/>
    </row>
    <row r="75" ht="20" customHeight="1" s="1">
      <c r="A75" s="21" t="inlineStr">
        <is>
          <t>19793</t>
        </is>
      </c>
      <c r="B75" s="22" t="inlineStr">
        <is>
          <t>NUR GİDA</t>
        </is>
      </c>
      <c r="C75" s="21" t="inlineStr">
        <is>
          <t>8699444267548</t>
        </is>
      </c>
      <c r="D75" s="22" t="inlineStr">
        <is>
          <t>Effective Dezo Women PURE LOVE 150 ml</t>
        </is>
      </c>
      <c r="E75" s="23" t="n">
        <v>3.6</v>
      </c>
      <c r="F75" s="23" t="n">
        <v>24</v>
      </c>
      <c r="G75" s="23" t="n">
        <v>37</v>
      </c>
      <c r="H75" s="23" t="n"/>
      <c r="I75" s="23" t="n">
        <v>37</v>
      </c>
      <c r="J75" s="23" t="n"/>
      <c r="K75" s="19">
        <f>H75+I75+J75</f>
        <v/>
      </c>
      <c r="L75" s="19">
        <f>K75-G75</f>
        <v/>
      </c>
      <c r="M75" s="20">
        <f>L75*E75</f>
        <v/>
      </c>
      <c r="N75" s="20" t="n">
        <v>50</v>
      </c>
      <c r="O75" s="20" t="n"/>
      <c r="P75" s="20">
        <f>O75-N75</f>
        <v/>
      </c>
      <c r="Q75" s="20">
        <f>P75*E75</f>
        <v/>
      </c>
      <c r="R75" s="20" t="n"/>
    </row>
    <row r="76" ht="20" customHeight="1" s="1">
      <c r="A76" s="21" t="inlineStr">
        <is>
          <t>19795</t>
        </is>
      </c>
      <c r="B76" s="22" t="inlineStr">
        <is>
          <t>NUR GİDA</t>
        </is>
      </c>
      <c r="C76" s="21" t="inlineStr">
        <is>
          <t>8699444267524</t>
        </is>
      </c>
      <c r="D76" s="22" t="inlineStr">
        <is>
          <t>Effective Dezo Women QUEEN 150 ml</t>
        </is>
      </c>
      <c r="E76" s="23" t="n">
        <v>3.6</v>
      </c>
      <c r="F76" s="23" t="n">
        <v>24</v>
      </c>
      <c r="G76" s="23" t="n">
        <v>97</v>
      </c>
      <c r="H76" s="23" t="n"/>
      <c r="I76" s="23" t="n">
        <v>97</v>
      </c>
      <c r="J76" s="23" t="n"/>
      <c r="K76" s="19">
        <f>H76+I76+J76</f>
        <v/>
      </c>
      <c r="L76" s="19">
        <f>K76-G76</f>
        <v/>
      </c>
      <c r="M76" s="20">
        <f>L76*E76</f>
        <v/>
      </c>
      <c r="N76" s="20" t="n">
        <v>50</v>
      </c>
      <c r="O76" s="20" t="n"/>
      <c r="P76" s="20">
        <f>O76-N76</f>
        <v/>
      </c>
      <c r="Q76" s="20">
        <f>P76*E76</f>
        <v/>
      </c>
      <c r="R76" s="20" t="n"/>
    </row>
    <row r="77" ht="20" customHeight="1" s="1">
      <c r="A77" s="21" t="inlineStr">
        <is>
          <t>19791</t>
        </is>
      </c>
      <c r="B77" s="22" t="inlineStr">
        <is>
          <t>NUR GİDA</t>
        </is>
      </c>
      <c r="C77" s="21" t="inlineStr">
        <is>
          <t>8699444267562</t>
        </is>
      </c>
      <c r="D77" s="22" t="inlineStr">
        <is>
          <t>Effective Dezo Women SECRET 150 ml</t>
        </is>
      </c>
      <c r="E77" s="23" t="n">
        <v>3.6</v>
      </c>
      <c r="F77" s="23" t="n">
        <v>24</v>
      </c>
      <c r="G77" s="23" t="n">
        <v>227</v>
      </c>
      <c r="H77" s="23" t="n"/>
      <c r="I77" s="23" t="n">
        <v>227</v>
      </c>
      <c r="J77" s="23" t="n"/>
      <c r="K77" s="19">
        <f>H77+I77+J77</f>
        <v/>
      </c>
      <c r="L77" s="19">
        <f>K77-G77</f>
        <v/>
      </c>
      <c r="M77" s="20">
        <f>L77*E77</f>
        <v/>
      </c>
      <c r="N77" s="20" t="n">
        <v>50</v>
      </c>
      <c r="O77" s="20" t="n"/>
      <c r="P77" s="20">
        <f>O77-N77</f>
        <v/>
      </c>
      <c r="Q77" s="20">
        <f>P77*E77</f>
        <v/>
      </c>
      <c r="R77" s="20" t="n"/>
    </row>
    <row r="78" ht="20" customHeight="1" s="1">
      <c r="A78" s="16" t="inlineStr">
        <is>
          <t>19794</t>
        </is>
      </c>
      <c r="B78" s="17" t="inlineStr">
        <is>
          <t>NUR GİDA</t>
        </is>
      </c>
      <c r="C78" s="16" t="inlineStr">
        <is>
          <t>8699444267494</t>
        </is>
      </c>
      <c r="D78" s="17" t="inlineStr">
        <is>
          <t>Effective Dezo Women SOFT CHERRY 150 ml</t>
        </is>
      </c>
      <c r="E78" s="18" t="n">
        <v>3.6</v>
      </c>
      <c r="F78" s="18" t="n">
        <v>24</v>
      </c>
      <c r="G78" s="18" t="n">
        <v>147</v>
      </c>
      <c r="H78" s="18" t="n"/>
      <c r="I78" s="18" t="n">
        <v>147</v>
      </c>
      <c r="J78" s="18" t="n"/>
      <c r="K78" s="19">
        <f>H78+I78+J78</f>
        <v/>
      </c>
      <c r="L78" s="19">
        <f>K78-G78</f>
        <v/>
      </c>
      <c r="M78" s="20">
        <f>L78*E78</f>
        <v/>
      </c>
      <c r="N78" s="20" t="n">
        <v>50</v>
      </c>
      <c r="O78" s="20" t="n"/>
      <c r="P78" s="20">
        <f>O78-N78</f>
        <v/>
      </c>
      <c r="Q78" s="20">
        <f>P78*E78</f>
        <v/>
      </c>
      <c r="R78" s="20" t="n"/>
    </row>
    <row r="79" ht="20" customHeight="1" s="1">
      <c r="A79" s="21" t="inlineStr">
        <is>
          <t>19797</t>
        </is>
      </c>
      <c r="B79" s="22" t="inlineStr">
        <is>
          <t>NUR GİDA</t>
        </is>
      </c>
      <c r="C79" s="21" t="inlineStr">
        <is>
          <t>8699444267500</t>
        </is>
      </c>
      <c r="D79" s="22" t="inlineStr">
        <is>
          <t>Effective Dezo Women SOFT ORANGE 150 ml</t>
        </is>
      </c>
      <c r="E79" s="23" t="n">
        <v>3.6</v>
      </c>
      <c r="F79" s="23" t="n">
        <v>24</v>
      </c>
      <c r="G79" s="23" t="n">
        <v>244</v>
      </c>
      <c r="H79" s="23" t="n"/>
      <c r="I79" s="23" t="n">
        <v>244</v>
      </c>
      <c r="J79" s="23" t="n"/>
      <c r="K79" s="19">
        <f>H79+I79+J79</f>
        <v/>
      </c>
      <c r="L79" s="19">
        <f>K79-G79</f>
        <v/>
      </c>
      <c r="M79" s="20">
        <f>L79*E79</f>
        <v/>
      </c>
      <c r="N79" s="20" t="n">
        <v>50</v>
      </c>
      <c r="O79" s="20" t="n"/>
      <c r="P79" s="20">
        <f>O79-N79</f>
        <v/>
      </c>
      <c r="Q79" s="20">
        <f>P79*E79</f>
        <v/>
      </c>
      <c r="R79" s="20" t="n"/>
    </row>
    <row r="80" ht="20" customHeight="1" s="1">
      <c r="A80" s="16" t="inlineStr">
        <is>
          <t>19796</t>
        </is>
      </c>
      <c r="B80" s="17" t="inlineStr">
        <is>
          <t>NUR GİDA</t>
        </is>
      </c>
      <c r="C80" s="16" t="inlineStr">
        <is>
          <t>8699444267579</t>
        </is>
      </c>
      <c r="D80" s="17" t="inlineStr">
        <is>
          <t>Effective Dezo Women VIOLET 150 ml</t>
        </is>
      </c>
      <c r="E80" s="18" t="n">
        <v>3.6</v>
      </c>
      <c r="F80" s="18" t="n">
        <v>24</v>
      </c>
      <c r="G80" s="18" t="n">
        <v>6</v>
      </c>
      <c r="H80" s="18" t="n"/>
      <c r="I80" s="18" t="n">
        <v>6</v>
      </c>
      <c r="J80" s="18" t="n"/>
      <c r="K80" s="19">
        <f>H80+I80+J80</f>
        <v/>
      </c>
      <c r="L80" s="19">
        <f>K80-G80</f>
        <v/>
      </c>
      <c r="M80" s="20">
        <f>L80*E80</f>
        <v/>
      </c>
      <c r="N80" s="20" t="n">
        <v>50</v>
      </c>
      <c r="O80" s="20" t="n"/>
      <c r="P80" s="20">
        <f>O80-N80</f>
        <v/>
      </c>
      <c r="Q80" s="20">
        <f>P80*E80</f>
        <v/>
      </c>
      <c r="R80" s="20" t="n"/>
    </row>
    <row r="81" ht="20" customHeight="1" s="1">
      <c r="A81" s="21" t="inlineStr">
        <is>
          <t>19786</t>
        </is>
      </c>
      <c r="B81" s="22" t="inlineStr">
        <is>
          <t>NUR GİDA</t>
        </is>
      </c>
      <c r="C81" s="21" t="inlineStr">
        <is>
          <t>8699444267616</t>
        </is>
      </c>
      <c r="D81" s="22" t="inlineStr">
        <is>
          <t>Lak Vol&amp;Hair Hair Sprey Extra hold 400ml</t>
        </is>
      </c>
      <c r="E81" s="23" t="n">
        <v>4.8</v>
      </c>
      <c r="F81" s="23" t="n">
        <v>24</v>
      </c>
      <c r="G81" s="23" t="n">
        <v>8</v>
      </c>
      <c r="H81" s="23" t="n">
        <v>1</v>
      </c>
      <c r="I81" s="23" t="n">
        <v>7</v>
      </c>
      <c r="J81" s="23" t="n"/>
      <c r="K81" s="19">
        <f>H81+I81+J81</f>
        <v/>
      </c>
      <c r="L81" s="19">
        <f>K81-G81</f>
        <v/>
      </c>
      <c r="M81" s="20">
        <f>L81*E81</f>
        <v/>
      </c>
      <c r="N81" s="20" t="n">
        <v>50</v>
      </c>
      <c r="O81" s="20" t="n"/>
      <c r="P81" s="20">
        <f>O81-N81</f>
        <v/>
      </c>
      <c r="Q81" s="20">
        <f>P81*E81</f>
        <v/>
      </c>
      <c r="R81" s="20" t="n"/>
    </row>
    <row r="82" ht="20" customHeight="1" s="1">
      <c r="A82" s="16" t="inlineStr">
        <is>
          <t>19787</t>
        </is>
      </c>
      <c r="B82" s="17" t="inlineStr">
        <is>
          <t>NUR GİDA</t>
        </is>
      </c>
      <c r="C82" s="16" t="inlineStr">
        <is>
          <t>8699444267609</t>
        </is>
      </c>
      <c r="D82" s="17" t="inlineStr">
        <is>
          <t>Lak Vol&amp;Hair Hair Sprey Ultra hold 400ml</t>
        </is>
      </c>
      <c r="E82" s="18" t="n">
        <v>4.8</v>
      </c>
      <c r="F82" s="18" t="n">
        <v>24</v>
      </c>
      <c r="G82" s="18" t="n">
        <v>8</v>
      </c>
      <c r="H82" s="18" t="n"/>
      <c r="I82" s="18" t="n">
        <v>8</v>
      </c>
      <c r="J82" s="18" t="n"/>
      <c r="K82" s="19">
        <f>H82+I82+J82</f>
        <v/>
      </c>
      <c r="L82" s="19">
        <f>K82-G82</f>
        <v/>
      </c>
      <c r="M82" s="20">
        <f>L82*E82</f>
        <v/>
      </c>
      <c r="N82" s="20" t="n">
        <v>50</v>
      </c>
      <c r="O82" s="20" t="n"/>
      <c r="P82" s="20">
        <f>O82-N82</f>
        <v/>
      </c>
      <c r="Q82" s="20">
        <f>P82*E82</f>
        <v/>
      </c>
      <c r="R82" s="20" t="n"/>
    </row>
    <row r="83" ht="20" customHeight="1" s="1">
      <c r="A83" s="21" t="inlineStr">
        <is>
          <t>10135</t>
        </is>
      </c>
      <c r="B83" s="22" t="inlineStr">
        <is>
          <t>NUR GİDA</t>
        </is>
      </c>
      <c r="C83" s="21" t="inlineStr">
        <is>
          <t>8699444260174</t>
        </is>
      </c>
      <c r="D83" s="22" t="inlineStr">
        <is>
          <t>Lara  bebek mendil 72 pcs qapaqli</t>
        </is>
      </c>
      <c r="E83" s="23" t="n">
        <v>2.4</v>
      </c>
      <c r="F83" s="23" t="n">
        <v>24</v>
      </c>
      <c r="G83" s="23" t="n">
        <v>70</v>
      </c>
      <c r="H83" s="23" t="n"/>
      <c r="I83" s="23" t="n">
        <v>70</v>
      </c>
      <c r="J83" s="23" t="n"/>
      <c r="K83" s="19">
        <f>H83+I83+J83</f>
        <v/>
      </c>
      <c r="L83" s="19">
        <f>K83-G83</f>
        <v/>
      </c>
      <c r="M83" s="20">
        <f>L83*E83</f>
        <v/>
      </c>
      <c r="N83" s="20" t="n">
        <v>50</v>
      </c>
      <c r="O83" s="20" t="n"/>
      <c r="P83" s="20">
        <f>O83-N83</f>
        <v/>
      </c>
      <c r="Q83" s="20">
        <f>P83*E83</f>
        <v/>
      </c>
      <c r="R83" s="20" t="n"/>
    </row>
    <row r="84" ht="20" customHeight="1" s="1">
      <c r="A84" s="16" t="inlineStr">
        <is>
          <t>10143</t>
        </is>
      </c>
      <c r="B84" s="17" t="inlineStr">
        <is>
          <t>NUR GİDA</t>
        </is>
      </c>
      <c r="C84" s="16" t="inlineStr">
        <is>
          <t>8699444260396</t>
        </is>
      </c>
      <c r="D84" s="17" t="inlineStr">
        <is>
          <t>Lara  bebek mendil romaska 72 pcs qapaqli</t>
        </is>
      </c>
      <c r="E84" s="18" t="n">
        <v>2.4</v>
      </c>
      <c r="F84" s="18" t="n">
        <v>24</v>
      </c>
      <c r="G84" s="18" t="n">
        <v>74</v>
      </c>
      <c r="H84" s="18" t="n"/>
      <c r="I84" s="18" t="n">
        <v>74</v>
      </c>
      <c r="J84" s="18" t="n"/>
      <c r="K84" s="19">
        <f>H84+I84+J84</f>
        <v/>
      </c>
      <c r="L84" s="19">
        <f>K84-G84</f>
        <v/>
      </c>
      <c r="M84" s="20">
        <f>L84*E84</f>
        <v/>
      </c>
      <c r="N84" s="20" t="n">
        <v>50</v>
      </c>
      <c r="O84" s="20" t="n"/>
      <c r="P84" s="20">
        <f>O84-N84</f>
        <v/>
      </c>
      <c r="Q84" s="20">
        <f>P84*E84</f>
        <v/>
      </c>
      <c r="R84" s="20" t="n"/>
    </row>
    <row r="85" ht="20" customHeight="1" s="1">
      <c r="A85" s="21" t="inlineStr">
        <is>
          <t>10449</t>
        </is>
      </c>
      <c r="B85" s="22" t="inlineStr">
        <is>
          <t>NUR GİDA</t>
        </is>
      </c>
      <c r="C85" s="21" t="inlineStr">
        <is>
          <t>8699444262949</t>
        </is>
      </c>
      <c r="D85" s="22" t="inlineStr">
        <is>
          <t>Lara 120 pcs ECO Aloe Vera q-li</t>
        </is>
      </c>
      <c r="E85" s="23" t="n">
        <v>2.7</v>
      </c>
      <c r="F85" s="23" t="n">
        <v>12</v>
      </c>
      <c r="G85" s="23" t="n">
        <v>198</v>
      </c>
      <c r="H85" s="23" t="n"/>
      <c r="I85" s="23" t="n">
        <v>198</v>
      </c>
      <c r="J85" s="23" t="n"/>
      <c r="K85" s="19">
        <f>H85+I85+J85</f>
        <v/>
      </c>
      <c r="L85" s="19">
        <f>K85-G85</f>
        <v/>
      </c>
      <c r="M85" s="20">
        <f>L85*E85</f>
        <v/>
      </c>
      <c r="N85" s="20" t="n">
        <v>50</v>
      </c>
      <c r="O85" s="20" t="n"/>
      <c r="P85" s="20">
        <f>O85-N85</f>
        <v/>
      </c>
      <c r="Q85" s="20">
        <f>P85*E85</f>
        <v/>
      </c>
      <c r="R85" s="20" t="n"/>
    </row>
    <row r="86" ht="20" customHeight="1" s="1">
      <c r="A86" s="21" t="inlineStr">
        <is>
          <t>10510</t>
        </is>
      </c>
      <c r="B86" s="22" t="inlineStr">
        <is>
          <t>NUR GİDA</t>
        </is>
      </c>
      <c r="C86" s="21" t="inlineStr">
        <is>
          <t>8699444262963</t>
        </is>
      </c>
      <c r="D86" s="22" t="inlineStr">
        <is>
          <t>Lara 120 pcs ECO Chamomile q-li</t>
        </is>
      </c>
      <c r="E86" s="23" t="n">
        <v>2.7</v>
      </c>
      <c r="F86" s="23" t="n">
        <v>12</v>
      </c>
      <c r="G86" s="23" t="n">
        <v>115</v>
      </c>
      <c r="H86" s="23" t="n"/>
      <c r="I86" s="23" t="n">
        <v>115</v>
      </c>
      <c r="J86" s="23" t="n"/>
      <c r="K86" s="19">
        <f>H86+I86+J86</f>
        <v/>
      </c>
      <c r="L86" s="19">
        <f>K86-G86</f>
        <v/>
      </c>
      <c r="M86" s="20">
        <f>L86*E86</f>
        <v/>
      </c>
      <c r="N86" s="20" t="n">
        <v>50</v>
      </c>
      <c r="O86" s="20" t="n"/>
      <c r="P86" s="20">
        <f>O86-N86</f>
        <v/>
      </c>
      <c r="Q86" s="20">
        <f>P86*E86</f>
        <v/>
      </c>
      <c r="R86" s="20" t="n"/>
    </row>
    <row r="87" ht="20" customHeight="1" s="1">
      <c r="A87" s="16" t="inlineStr">
        <is>
          <t>10493</t>
        </is>
      </c>
      <c r="B87" s="17" t="inlineStr">
        <is>
          <t>NUR GİDA</t>
        </is>
      </c>
      <c r="C87" s="16" t="inlineStr">
        <is>
          <t>8699444262932</t>
        </is>
      </c>
      <c r="D87" s="17" t="inlineStr">
        <is>
          <t>Lara 120 pcs ECO Gerbera Daisy q-li</t>
        </is>
      </c>
      <c r="E87" s="18" t="n">
        <v>2.7</v>
      </c>
      <c r="F87" s="18" t="n">
        <v>12</v>
      </c>
      <c r="G87" s="18" t="n">
        <v>158</v>
      </c>
      <c r="H87" s="18" t="n"/>
      <c r="I87" s="18" t="n"/>
      <c r="J87" s="18" t="n"/>
      <c r="K87" s="19" t="n"/>
      <c r="L87" s="19" t="n"/>
      <c r="M87" s="20" t="n"/>
      <c r="N87" s="20" t="n">
        <v>50</v>
      </c>
      <c r="O87" s="20" t="n"/>
      <c r="P87" s="20">
        <f>O87-N87</f>
        <v/>
      </c>
      <c r="Q87" s="20">
        <f>P87*E87</f>
        <v/>
      </c>
      <c r="R87" s="20" t="n"/>
    </row>
    <row r="88" ht="20" customHeight="1" s="1">
      <c r="A88" s="21" t="inlineStr">
        <is>
          <t>11516</t>
        </is>
      </c>
      <c r="B88" s="22" t="inlineStr">
        <is>
          <t>NUR GİDA</t>
        </is>
      </c>
      <c r="C88" s="21" t="inlineStr">
        <is>
          <t>8699444262987</t>
        </is>
      </c>
      <c r="D88" s="22" t="inlineStr">
        <is>
          <t>Lara 120 pcs ECO Grapefruits Lemon q-li</t>
        </is>
      </c>
      <c r="E88" s="23" t="n">
        <v>2.7</v>
      </c>
      <c r="F88" s="23" t="n">
        <v>12</v>
      </c>
      <c r="G88" s="23" t="n">
        <v>97</v>
      </c>
      <c r="H88" s="23" t="n">
        <v>1</v>
      </c>
      <c r="I88" s="23" t="n">
        <v>96</v>
      </c>
      <c r="J88" s="23" t="n"/>
      <c r="K88" s="19">
        <f>H88+I88+J88</f>
        <v/>
      </c>
      <c r="L88" s="19">
        <f>K88-G88</f>
        <v/>
      </c>
      <c r="M88" s="20">
        <f>L88*E88</f>
        <v/>
      </c>
      <c r="N88" s="20" t="n">
        <v>50</v>
      </c>
      <c r="O88" s="20" t="n"/>
      <c r="P88" s="20">
        <f>O88-N88</f>
        <v/>
      </c>
      <c r="Q88" s="20">
        <f>P88*E88</f>
        <v/>
      </c>
      <c r="R88" s="20" t="n"/>
    </row>
    <row r="89" ht="20" customHeight="1" s="1">
      <c r="A89" s="16" t="inlineStr">
        <is>
          <t>10536</t>
        </is>
      </c>
      <c r="B89" s="17" t="inlineStr">
        <is>
          <t>NUR GİDA</t>
        </is>
      </c>
      <c r="C89" s="16" t="inlineStr">
        <is>
          <t>8699444262970</t>
        </is>
      </c>
      <c r="D89" s="17" t="inlineStr">
        <is>
          <t>Lara 120 pcs ECO Lavander q-li</t>
        </is>
      </c>
      <c r="E89" s="18" t="n">
        <v>2.7</v>
      </c>
      <c r="F89" s="18" t="n">
        <v>12</v>
      </c>
      <c r="G89" s="18" t="n">
        <v>90</v>
      </c>
      <c r="H89" s="18" t="n"/>
      <c r="I89" s="18" t="n">
        <v>90</v>
      </c>
      <c r="J89" s="18" t="n"/>
      <c r="K89" s="19">
        <f>H89+I89+J89</f>
        <v/>
      </c>
      <c r="L89" s="19">
        <f>K89-G89</f>
        <v/>
      </c>
      <c r="M89" s="20">
        <f>L89*E89</f>
        <v/>
      </c>
      <c r="N89" s="20" t="n">
        <v>50</v>
      </c>
      <c r="O89" s="20" t="n"/>
      <c r="P89" s="20">
        <f>O89-N89</f>
        <v/>
      </c>
      <c r="Q89" s="20">
        <f>P89*E89</f>
        <v/>
      </c>
      <c r="R89" s="20" t="n"/>
    </row>
    <row r="90" ht="20" customHeight="1" s="1">
      <c r="A90" s="16" t="inlineStr">
        <is>
          <t>12178</t>
        </is>
      </c>
      <c r="B90" s="17" t="inlineStr">
        <is>
          <t>NUR GİDA</t>
        </is>
      </c>
      <c r="C90" s="16" t="inlineStr">
        <is>
          <t>8699444262956</t>
        </is>
      </c>
      <c r="D90" s="17" t="inlineStr">
        <is>
          <t>Lara 120 pcs ECO Wild Rose q-li</t>
        </is>
      </c>
      <c r="E90" s="18" t="n">
        <v>2.7</v>
      </c>
      <c r="F90" s="18" t="n">
        <v>12</v>
      </c>
      <c r="G90" s="18" t="n">
        <v>126</v>
      </c>
      <c r="H90" s="18" t="n"/>
      <c r="I90" s="18" t="n"/>
      <c r="J90" s="18" t="n"/>
      <c r="K90" s="19" t="n"/>
      <c r="L90" s="19" t="n"/>
      <c r="M90" s="20" t="n"/>
      <c r="N90" s="20" t="n">
        <v>50</v>
      </c>
      <c r="O90" s="20" t="n"/>
      <c r="P90" s="20">
        <f>O90-N90</f>
        <v/>
      </c>
      <c r="Q90" s="20">
        <f>P90*E90</f>
        <v/>
      </c>
      <c r="R90" s="20" t="n"/>
    </row>
    <row r="91" ht="20" customHeight="1" s="1">
      <c r="A91" s="16" t="inlineStr">
        <is>
          <t>10295</t>
        </is>
      </c>
      <c r="B91" s="17" t="inlineStr">
        <is>
          <t>NUR GİDA</t>
        </is>
      </c>
      <c r="C91" s="16" t="inlineStr">
        <is>
          <t>8699444263144</t>
        </is>
      </c>
      <c r="D91" s="17" t="inlineStr">
        <is>
          <t>Lara Aparat 260 ml Anti Tabakko</t>
        </is>
      </c>
      <c r="E91" s="18" t="n">
        <v>3.2</v>
      </c>
      <c r="F91" s="18" t="n">
        <v>48</v>
      </c>
      <c r="G91" s="18" t="n">
        <v>350</v>
      </c>
      <c r="H91" s="18" t="n"/>
      <c r="I91" s="18" t="n"/>
      <c r="J91" s="18" t="n"/>
      <c r="K91" s="19" t="n"/>
      <c r="L91" s="19" t="n"/>
      <c r="M91" s="20" t="n"/>
      <c r="N91" s="20" t="n">
        <v>50</v>
      </c>
      <c r="O91" s="20" t="n"/>
      <c r="P91" s="20">
        <f>O91-N91</f>
        <v/>
      </c>
      <c r="Q91" s="20">
        <f>P91*E91</f>
        <v/>
      </c>
      <c r="R91" s="20" t="n"/>
    </row>
    <row r="92" ht="20" customHeight="1" s="1">
      <c r="A92" s="16" t="inlineStr">
        <is>
          <t>10247</t>
        </is>
      </c>
      <c r="B92" s="17" t="inlineStr">
        <is>
          <t>NUR GİDA</t>
        </is>
      </c>
      <c r="C92" s="16" t="inlineStr">
        <is>
          <t>8699444263090</t>
        </is>
      </c>
      <c r="D92" s="17" t="inlineStr">
        <is>
          <t>Lara Aparat 260 ml Baby</t>
        </is>
      </c>
      <c r="E92" s="18" t="n">
        <v>3.2</v>
      </c>
      <c r="F92" s="18" t="n">
        <v>48</v>
      </c>
      <c r="G92" s="18" t="n">
        <v>56</v>
      </c>
      <c r="H92" s="18" t="n"/>
      <c r="I92" s="18" t="n">
        <v>56</v>
      </c>
      <c r="J92" s="18" t="n"/>
      <c r="K92" s="19">
        <f>H92+I92+J92</f>
        <v/>
      </c>
      <c r="L92" s="19">
        <f>K92-G92</f>
        <v/>
      </c>
      <c r="M92" s="20">
        <f>L92*E92</f>
        <v/>
      </c>
      <c r="N92" s="20" t="n">
        <v>50</v>
      </c>
      <c r="O92" s="20" t="n"/>
      <c r="P92" s="20">
        <f>O92-N92</f>
        <v/>
      </c>
      <c r="Q92" s="20">
        <f>P92*E92</f>
        <v/>
      </c>
      <c r="R92" s="20" t="n"/>
    </row>
    <row r="93" ht="20" customHeight="1" s="1">
      <c r="A93" s="21" t="inlineStr">
        <is>
          <t>12179</t>
        </is>
      </c>
      <c r="B93" s="22" t="inlineStr">
        <is>
          <t>NUR GİDA</t>
        </is>
      </c>
      <c r="C93" s="21" t="inlineStr">
        <is>
          <t>8699444263014</t>
        </is>
      </c>
      <c r="D93" s="22" t="inlineStr">
        <is>
          <t>Lara Aparat 260 ml Bonbon</t>
        </is>
      </c>
      <c r="E93" s="23" t="n">
        <v>3.2</v>
      </c>
      <c r="F93" s="23" t="n">
        <v>48</v>
      </c>
      <c r="G93" s="23" t="n">
        <v>271</v>
      </c>
      <c r="H93" s="23" t="n"/>
      <c r="I93" s="23" t="n">
        <v>271</v>
      </c>
      <c r="J93" s="23" t="n"/>
      <c r="K93" s="19">
        <f>H93+I93+J93</f>
        <v/>
      </c>
      <c r="L93" s="19">
        <f>K93-G93</f>
        <v/>
      </c>
      <c r="M93" s="20">
        <f>L93*E93</f>
        <v/>
      </c>
      <c r="N93" s="20" t="n">
        <v>50</v>
      </c>
      <c r="O93" s="20" t="n"/>
      <c r="P93" s="20">
        <f>O93-N93</f>
        <v/>
      </c>
      <c r="Q93" s="20">
        <f>P93*E93</f>
        <v/>
      </c>
      <c r="R93" s="20" t="n"/>
    </row>
    <row r="94" ht="20" customHeight="1" s="1">
      <c r="A94" s="16" t="inlineStr">
        <is>
          <t>10283</t>
        </is>
      </c>
      <c r="B94" s="17" t="inlineStr">
        <is>
          <t>NUR GİDA</t>
        </is>
      </c>
      <c r="C94" s="16" t="inlineStr">
        <is>
          <t>8699444263038</t>
        </is>
      </c>
      <c r="D94" s="17" t="inlineStr">
        <is>
          <t>Lara Aparat 260 ml Cool Okean</t>
        </is>
      </c>
      <c r="E94" s="18" t="n">
        <v>3.2</v>
      </c>
      <c r="F94" s="18" t="n">
        <v>48</v>
      </c>
      <c r="G94" s="18" t="n">
        <v>57</v>
      </c>
      <c r="H94" s="18" t="n"/>
      <c r="I94" s="18" t="n"/>
      <c r="J94" s="18" t="n"/>
      <c r="K94" s="19" t="n"/>
      <c r="L94" s="19" t="n"/>
      <c r="M94" s="20" t="n"/>
      <c r="N94" s="20" t="n">
        <v>50</v>
      </c>
      <c r="O94" s="20" t="n"/>
      <c r="P94" s="20">
        <f>O94-N94</f>
        <v/>
      </c>
      <c r="Q94" s="20">
        <f>P94*E94</f>
        <v/>
      </c>
      <c r="R94" s="20" t="n"/>
    </row>
    <row r="95" ht="20" customHeight="1" s="1">
      <c r="A95" s="21" t="inlineStr">
        <is>
          <t>10231</t>
        </is>
      </c>
      <c r="B95" s="22" t="inlineStr">
        <is>
          <t>NUR GİDA</t>
        </is>
      </c>
      <c r="C95" s="21" t="inlineStr">
        <is>
          <t>8699444263021</t>
        </is>
      </c>
      <c r="D95" s="22" t="inlineStr">
        <is>
          <t>Lara Aparat 260 ml Lavander Garden</t>
        </is>
      </c>
      <c r="E95" s="23" t="n">
        <v>3.2</v>
      </c>
      <c r="F95" s="23" t="n">
        <v>48</v>
      </c>
      <c r="G95" s="23" t="n">
        <v>25</v>
      </c>
      <c r="H95" s="23" t="n"/>
      <c r="I95" s="23" t="n"/>
      <c r="J95" s="23" t="n"/>
      <c r="K95" s="19" t="n"/>
      <c r="L95" s="19" t="n"/>
      <c r="M95" s="20" t="n"/>
      <c r="N95" s="20" t="n">
        <v>50</v>
      </c>
      <c r="O95" s="20" t="n"/>
      <c r="P95" s="20">
        <f>O95-N95</f>
        <v/>
      </c>
      <c r="Q95" s="20">
        <f>P95*E95</f>
        <v/>
      </c>
      <c r="R95" s="20" t="n"/>
    </row>
    <row r="96" ht="20" customHeight="1" s="1">
      <c r="A96" s="16" t="inlineStr">
        <is>
          <t>10197</t>
        </is>
      </c>
      <c r="B96" s="17" t="inlineStr">
        <is>
          <t>NUR GİDA</t>
        </is>
      </c>
      <c r="C96" s="16" t="inlineStr">
        <is>
          <t>8699444263106</t>
        </is>
      </c>
      <c r="D96" s="17" t="inlineStr">
        <is>
          <t>Lara Aparat 260 ml Lilac</t>
        </is>
      </c>
      <c r="E96" s="18" t="n">
        <v>3.2</v>
      </c>
      <c r="F96" s="18" t="n">
        <v>48</v>
      </c>
      <c r="G96" s="18" t="n">
        <v>195</v>
      </c>
      <c r="H96" s="18" t="n">
        <v>1</v>
      </c>
      <c r="I96" s="18" t="n">
        <v>194</v>
      </c>
      <c r="J96" s="18" t="n"/>
      <c r="K96" s="19">
        <f>H96+I96+J96</f>
        <v/>
      </c>
      <c r="L96" s="19">
        <f>K96-G96</f>
        <v/>
      </c>
      <c r="M96" s="20">
        <f>L96*E96</f>
        <v/>
      </c>
      <c r="N96" s="20" t="n">
        <v>50</v>
      </c>
      <c r="O96" s="20" t="n"/>
      <c r="P96" s="20">
        <f>O96-N96</f>
        <v/>
      </c>
      <c r="Q96" s="20">
        <f>P96*E96</f>
        <v/>
      </c>
      <c r="R96" s="20" t="n"/>
    </row>
    <row r="97" ht="20" customHeight="1" s="1">
      <c r="A97" s="16" t="inlineStr">
        <is>
          <t>10245</t>
        </is>
      </c>
      <c r="B97" s="17" t="inlineStr">
        <is>
          <t>NUR GİDA</t>
        </is>
      </c>
      <c r="C97" s="16" t="inlineStr">
        <is>
          <t>8699444263052</t>
        </is>
      </c>
      <c r="D97" s="17" t="inlineStr">
        <is>
          <t>Lara Aparat 260 ml Linen Fresh</t>
        </is>
      </c>
      <c r="E97" s="18" t="n">
        <v>3.2</v>
      </c>
      <c r="F97" s="18" t="n">
        <v>48</v>
      </c>
      <c r="G97" s="18" t="n">
        <v>232</v>
      </c>
      <c r="H97" s="18" t="n"/>
      <c r="I97" s="18" t="n">
        <v>232</v>
      </c>
      <c r="J97" s="18" t="n"/>
      <c r="K97" s="19">
        <f>H97+I97+J97</f>
        <v/>
      </c>
      <c r="L97" s="19">
        <f>K97-G97</f>
        <v/>
      </c>
      <c r="M97" s="20">
        <f>L97*E97</f>
        <v/>
      </c>
      <c r="N97" s="20" t="n">
        <v>50</v>
      </c>
      <c r="O97" s="20" t="n"/>
      <c r="P97" s="20">
        <f>O97-N97</f>
        <v/>
      </c>
      <c r="Q97" s="20">
        <f>P97*E97</f>
        <v/>
      </c>
      <c r="R97" s="20" t="n"/>
    </row>
    <row r="98" ht="20" customHeight="1" s="1">
      <c r="A98" s="16" t="inlineStr">
        <is>
          <t>10203</t>
        </is>
      </c>
      <c r="B98" s="17" t="inlineStr">
        <is>
          <t>NUR GİDA</t>
        </is>
      </c>
      <c r="C98" s="16" t="inlineStr">
        <is>
          <t>8699444263120</t>
        </is>
      </c>
      <c r="D98" s="17" t="inlineStr">
        <is>
          <t>Lara Aparat 260 ml Mediterranean</t>
        </is>
      </c>
      <c r="E98" s="18" t="n">
        <v>3.2</v>
      </c>
      <c r="F98" s="18" t="n">
        <v>48</v>
      </c>
      <c r="G98" s="18" t="n">
        <v>76</v>
      </c>
      <c r="H98" s="18" t="n"/>
      <c r="I98" s="18" t="n">
        <v>76</v>
      </c>
      <c r="J98" s="18" t="n"/>
      <c r="K98" s="19">
        <f>H98+I98+J98</f>
        <v/>
      </c>
      <c r="L98" s="19">
        <f>K98-G98</f>
        <v/>
      </c>
      <c r="M98" s="20">
        <f>L98*E98</f>
        <v/>
      </c>
      <c r="N98" s="20" t="n">
        <v>50</v>
      </c>
      <c r="O98" s="20" t="n"/>
      <c r="P98" s="20">
        <f>O98-N98</f>
        <v/>
      </c>
      <c r="Q98" s="20">
        <f>P98*E98</f>
        <v/>
      </c>
      <c r="R98" s="20" t="n"/>
    </row>
    <row r="99" ht="20" customHeight="1" s="1">
      <c r="A99" s="21" t="inlineStr">
        <is>
          <t>10196</t>
        </is>
      </c>
      <c r="B99" s="22" t="inlineStr">
        <is>
          <t>NUR GİDA</t>
        </is>
      </c>
      <c r="C99" s="21" t="inlineStr">
        <is>
          <t>8699444263137</t>
        </is>
      </c>
      <c r="D99" s="22" t="inlineStr">
        <is>
          <t>Lara Aparat 260 ml Mountain Fresh</t>
        </is>
      </c>
      <c r="E99" s="23" t="n">
        <v>3.2</v>
      </c>
      <c r="F99" s="23" t="n">
        <v>48</v>
      </c>
      <c r="G99" s="23" t="n">
        <v>55</v>
      </c>
      <c r="H99" s="23" t="n"/>
      <c r="I99" s="23" t="n">
        <v>55</v>
      </c>
      <c r="J99" s="23" t="n"/>
      <c r="K99" s="19">
        <f>H99+I99+J99</f>
        <v/>
      </c>
      <c r="L99" s="19">
        <f>K99-G99</f>
        <v/>
      </c>
      <c r="M99" s="20">
        <f>L99*E99</f>
        <v/>
      </c>
      <c r="N99" s="20" t="n">
        <v>50</v>
      </c>
      <c r="O99" s="20" t="n"/>
      <c r="P99" s="20">
        <f>O99-N99</f>
        <v/>
      </c>
      <c r="Q99" s="20">
        <f>P99*E99</f>
        <v/>
      </c>
      <c r="R99" s="20" t="n"/>
    </row>
    <row r="100" ht="20" customHeight="1" s="1">
      <c r="A100" s="21" t="inlineStr">
        <is>
          <t>10264</t>
        </is>
      </c>
      <c r="B100" s="22" t="inlineStr">
        <is>
          <t>NUR GİDA</t>
        </is>
      </c>
      <c r="C100" s="21" t="inlineStr">
        <is>
          <t>8699444263113</t>
        </is>
      </c>
      <c r="D100" s="22" t="inlineStr">
        <is>
          <t>Lara Aparat 260 ml Patchouli Cocoa</t>
        </is>
      </c>
      <c r="E100" s="23" t="n">
        <v>3.2</v>
      </c>
      <c r="F100" s="23" t="n">
        <v>48</v>
      </c>
      <c r="G100" s="23" t="n">
        <v>126</v>
      </c>
      <c r="H100" s="23" t="n"/>
      <c r="I100" s="23" t="n">
        <v>126</v>
      </c>
      <c r="J100" s="23" t="n"/>
      <c r="K100" s="19">
        <f>H100+I100+J100</f>
        <v/>
      </c>
      <c r="L100" s="19">
        <f>K100-G100</f>
        <v/>
      </c>
      <c r="M100" s="20">
        <f>L100*E100</f>
        <v/>
      </c>
      <c r="N100" s="20" t="n">
        <v>50</v>
      </c>
      <c r="O100" s="20" t="n"/>
      <c r="P100" s="20">
        <f>O100-N100</f>
        <v/>
      </c>
      <c r="Q100" s="20">
        <f>P100*E100</f>
        <v/>
      </c>
      <c r="R100" s="20" t="n"/>
    </row>
    <row r="101" ht="20" customHeight="1" s="1">
      <c r="A101" s="21" t="inlineStr">
        <is>
          <t>10418</t>
        </is>
      </c>
      <c r="B101" s="22" t="inlineStr">
        <is>
          <t>NUR GİDA</t>
        </is>
      </c>
      <c r="C101" s="21" t="inlineStr">
        <is>
          <t>8699444263045</t>
        </is>
      </c>
      <c r="D101" s="22" t="inlineStr">
        <is>
          <t>Lara Aparat 260 ml Pink Flowers</t>
        </is>
      </c>
      <c r="E101" s="23" t="n">
        <v>3.2</v>
      </c>
      <c r="F101" s="23" t="n">
        <v>48</v>
      </c>
      <c r="G101" s="23" t="n">
        <v>3</v>
      </c>
      <c r="H101" s="23" t="n">
        <v>2</v>
      </c>
      <c r="I101" s="23" t="n">
        <v>1</v>
      </c>
      <c r="J101" s="23" t="n"/>
      <c r="K101" s="19">
        <f>H101+I101+J101</f>
        <v/>
      </c>
      <c r="L101" s="19">
        <f>K101-G101</f>
        <v/>
      </c>
      <c r="M101" s="20">
        <f>L101*E101</f>
        <v/>
      </c>
      <c r="N101" s="20" t="n">
        <v>50</v>
      </c>
      <c r="O101" s="20" t="n"/>
      <c r="P101" s="20">
        <f>O101-N101</f>
        <v/>
      </c>
      <c r="Q101" s="20">
        <f>P101*E101</f>
        <v/>
      </c>
      <c r="R101" s="20" t="n"/>
    </row>
    <row r="102" ht="20" customHeight="1" s="1">
      <c r="A102" s="16" t="inlineStr">
        <is>
          <t>10285</t>
        </is>
      </c>
      <c r="B102" s="17" t="inlineStr">
        <is>
          <t>NUR GİDA</t>
        </is>
      </c>
      <c r="C102" s="16" t="inlineStr">
        <is>
          <t>8699444263076</t>
        </is>
      </c>
      <c r="D102" s="17" t="inlineStr">
        <is>
          <t>Lara Aparat 260 ml Royal Rose</t>
        </is>
      </c>
      <c r="E102" s="18" t="n">
        <v>3.2</v>
      </c>
      <c r="F102" s="18" t="n">
        <v>48</v>
      </c>
      <c r="G102" s="18" t="n">
        <v>1</v>
      </c>
      <c r="H102" s="18" t="n"/>
      <c r="I102" s="18" t="n">
        <v>1</v>
      </c>
      <c r="J102" s="18" t="n"/>
      <c r="K102" s="19">
        <f>H102+I102+J102</f>
        <v/>
      </c>
      <c r="L102" s="19">
        <f>K102-G102</f>
        <v/>
      </c>
      <c r="M102" s="20">
        <f>L102*E102</f>
        <v/>
      </c>
      <c r="N102" s="20" t="n">
        <v>50</v>
      </c>
      <c r="O102" s="20" t="n"/>
      <c r="P102" s="20">
        <f>O102-N102</f>
        <v/>
      </c>
      <c r="Q102" s="20">
        <f>P102*E102</f>
        <v/>
      </c>
      <c r="R102" s="20" t="n"/>
    </row>
    <row r="103" ht="20" customHeight="1" s="1">
      <c r="A103" s="21" t="inlineStr">
        <is>
          <t>10240</t>
        </is>
      </c>
      <c r="B103" s="22" t="inlineStr">
        <is>
          <t>NUR GİDA</t>
        </is>
      </c>
      <c r="C103" s="21" t="inlineStr">
        <is>
          <t>8699444263069</t>
        </is>
      </c>
      <c r="D103" s="22" t="inlineStr">
        <is>
          <t>Lara Aparat 260 ml Spring Morning</t>
        </is>
      </c>
      <c r="E103" s="23" t="n">
        <v>3.2</v>
      </c>
      <c r="F103" s="23" t="n">
        <v>48</v>
      </c>
      <c r="G103" s="23" t="n">
        <v>113</v>
      </c>
      <c r="H103" s="23" t="n">
        <v>1</v>
      </c>
      <c r="I103" s="23" t="n">
        <v>112</v>
      </c>
      <c r="J103" s="23" t="n"/>
      <c r="K103" s="19">
        <f>H103+I103+J103</f>
        <v/>
      </c>
      <c r="L103" s="19">
        <f>K103-G103</f>
        <v/>
      </c>
      <c r="M103" s="20">
        <f>L103*E103</f>
        <v/>
      </c>
      <c r="N103" s="20" t="n">
        <v>50</v>
      </c>
      <c r="O103" s="20" t="n"/>
      <c r="P103" s="20">
        <f>O103-N103</f>
        <v/>
      </c>
      <c r="Q103" s="20">
        <f>P103*E103</f>
        <v/>
      </c>
      <c r="R103" s="20" t="n"/>
    </row>
    <row r="104" ht="20" customHeight="1" s="1">
      <c r="A104" s="21" t="inlineStr">
        <is>
          <t>19112</t>
        </is>
      </c>
      <c r="B104" s="22" t="inlineStr">
        <is>
          <t>NUR GİDA</t>
        </is>
      </c>
      <c r="C104" s="21" t="inlineStr">
        <is>
          <t>8699444260402</t>
        </is>
      </c>
      <c r="D104" s="22" t="inlineStr">
        <is>
          <t>Lara Aseton Blue 130ml (Mavi)</t>
        </is>
      </c>
      <c r="E104" s="23" t="n">
        <v>1.75</v>
      </c>
      <c r="F104" s="23" t="n">
        <v>48</v>
      </c>
      <c r="G104" s="23" t="n">
        <v>90</v>
      </c>
      <c r="H104" s="23" t="n"/>
      <c r="I104" s="23" t="n"/>
      <c r="J104" s="23" t="n"/>
      <c r="K104" s="19" t="n"/>
      <c r="L104" s="19" t="n"/>
      <c r="M104" s="20" t="n"/>
      <c r="N104" s="20" t="n">
        <v>50</v>
      </c>
      <c r="O104" s="20" t="n"/>
      <c r="P104" s="20">
        <f>O104-N104</f>
        <v/>
      </c>
      <c r="Q104" s="20">
        <f>P104*E104</f>
        <v/>
      </c>
      <c r="R104" s="20" t="n"/>
    </row>
    <row r="105" ht="20" customHeight="1" s="1">
      <c r="A105" s="21" t="inlineStr">
        <is>
          <t>10290</t>
        </is>
      </c>
      <c r="B105" s="22" t="inlineStr">
        <is>
          <t>NUR GİDA</t>
        </is>
      </c>
      <c r="C105" s="21" t="inlineStr">
        <is>
          <t>8699444264721</t>
        </is>
      </c>
      <c r="D105" s="22" t="inlineStr">
        <is>
          <t>Lara Aseton Blue 200 ml (Mavi)</t>
        </is>
      </c>
      <c r="E105" s="23" t="n">
        <v>1.95</v>
      </c>
      <c r="F105" s="23" t="n">
        <v>48</v>
      </c>
      <c r="G105" s="23" t="n">
        <v>16</v>
      </c>
      <c r="H105" s="23" t="n"/>
      <c r="I105" s="23" t="n">
        <v>16</v>
      </c>
      <c r="J105" s="23" t="n"/>
      <c r="K105" s="19">
        <f>H105+I105+J105</f>
        <v/>
      </c>
      <c r="L105" s="19">
        <f>K105-G105</f>
        <v/>
      </c>
      <c r="M105" s="20">
        <f>L105*E105</f>
        <v/>
      </c>
      <c r="N105" s="20" t="n">
        <v>50</v>
      </c>
      <c r="O105" s="20" t="n"/>
      <c r="P105" s="20">
        <f>O105-N105</f>
        <v/>
      </c>
      <c r="Q105" s="20">
        <f>P105*E105</f>
        <v/>
      </c>
      <c r="R105" s="20" t="n"/>
    </row>
    <row r="106" ht="20" customHeight="1" s="1">
      <c r="A106" s="16" t="inlineStr">
        <is>
          <t>10311</t>
        </is>
      </c>
      <c r="B106" s="17" t="inlineStr">
        <is>
          <t>NUR GİDA</t>
        </is>
      </c>
      <c r="C106" s="16" t="inlineStr">
        <is>
          <t>8699444260501</t>
        </is>
      </c>
      <c r="D106" s="17" t="inlineStr">
        <is>
          <t>Lara Aseton Blue 80 ml (Mavi)</t>
        </is>
      </c>
      <c r="E106" s="18" t="n">
        <v>1.45</v>
      </c>
      <c r="F106" s="18" t="n">
        <v>48</v>
      </c>
      <c r="G106" s="18" t="n">
        <v>50</v>
      </c>
      <c r="H106" s="18" t="n"/>
      <c r="I106" s="18" t="n"/>
      <c r="J106" s="18" t="n"/>
      <c r="K106" s="19" t="n"/>
      <c r="L106" s="19" t="n"/>
      <c r="M106" s="20" t="n"/>
      <c r="N106" s="20" t="n">
        <v>50</v>
      </c>
      <c r="O106" s="20" t="n"/>
      <c r="P106" s="20">
        <f>O106-N106</f>
        <v/>
      </c>
      <c r="Q106" s="20">
        <f>P106*E106</f>
        <v/>
      </c>
      <c r="R106" s="20" t="n"/>
    </row>
    <row r="107" ht="20" customHeight="1" s="1">
      <c r="A107" s="16" t="inlineStr">
        <is>
          <t>10262</t>
        </is>
      </c>
      <c r="B107" s="17" t="inlineStr">
        <is>
          <t>NUR GİDA</t>
        </is>
      </c>
      <c r="C107" s="16" t="inlineStr">
        <is>
          <t>8699444264714</t>
        </is>
      </c>
      <c r="D107" s="17" t="inlineStr">
        <is>
          <t>Lara Aseton Giliserin (Green) 450 ml(Yasil)</t>
        </is>
      </c>
      <c r="E107" s="18" t="n">
        <v>4.25</v>
      </c>
      <c r="F107" s="18" t="n">
        <v>24</v>
      </c>
      <c r="G107" s="18" t="n">
        <v>130</v>
      </c>
      <c r="H107" s="18" t="n"/>
      <c r="I107" s="18" t="n">
        <v>130</v>
      </c>
      <c r="J107" s="18" t="n"/>
      <c r="K107" s="19">
        <f>H107+I107+J107</f>
        <v/>
      </c>
      <c r="L107" s="19">
        <f>K107-G107</f>
        <v/>
      </c>
      <c r="M107" s="20">
        <f>L107*E107</f>
        <v/>
      </c>
      <c r="N107" s="20" t="n">
        <v>50</v>
      </c>
      <c r="O107" s="20" t="n"/>
      <c r="P107" s="20">
        <f>O107-N107</f>
        <v/>
      </c>
      <c r="Q107" s="20">
        <f>P107*E107</f>
        <v/>
      </c>
      <c r="R107" s="20" t="n"/>
    </row>
    <row r="108" ht="20" customHeight="1" s="1">
      <c r="A108" s="21" t="inlineStr">
        <is>
          <t>19110</t>
        </is>
      </c>
      <c r="B108" s="22" t="inlineStr">
        <is>
          <t>NUR GİDA</t>
        </is>
      </c>
      <c r="C108" s="21" t="inlineStr">
        <is>
          <t>8699444260419</t>
        </is>
      </c>
      <c r="D108" s="22" t="inlineStr">
        <is>
          <t>Lara Aseton Green 130ml (Yasil)</t>
        </is>
      </c>
      <c r="E108" s="23" t="n">
        <v>1.75</v>
      </c>
      <c r="F108" s="23" t="n">
        <v>48</v>
      </c>
      <c r="G108" s="23" t="n">
        <v>42</v>
      </c>
      <c r="H108" s="23" t="n"/>
      <c r="I108" s="23" t="n">
        <v>42</v>
      </c>
      <c r="J108" s="23" t="n"/>
      <c r="K108" s="19">
        <f>H108+I108+J108</f>
        <v/>
      </c>
      <c r="L108" s="19">
        <f>K108-G108</f>
        <v/>
      </c>
      <c r="M108" s="20">
        <f>L108*E108</f>
        <v/>
      </c>
      <c r="N108" s="20" t="n">
        <v>50</v>
      </c>
      <c r="O108" s="20" t="n"/>
      <c r="P108" s="20">
        <f>O108-N108</f>
        <v/>
      </c>
      <c r="Q108" s="20">
        <f>P108*E108</f>
        <v/>
      </c>
      <c r="R108" s="20" t="n"/>
    </row>
    <row r="109" ht="20" customHeight="1" s="1">
      <c r="A109" s="16" t="inlineStr">
        <is>
          <t>10537</t>
        </is>
      </c>
      <c r="B109" s="17" t="inlineStr">
        <is>
          <t>NUR GİDA</t>
        </is>
      </c>
      <c r="C109" s="16" t="inlineStr">
        <is>
          <t>8699444260082</t>
        </is>
      </c>
      <c r="D109" s="17" t="inlineStr">
        <is>
          <t>Lara Aseton Green 200 ml (Yasil)</t>
        </is>
      </c>
      <c r="E109" s="18" t="n">
        <v>1.95</v>
      </c>
      <c r="F109" s="18" t="n">
        <v>48</v>
      </c>
      <c r="G109" s="18" t="n">
        <v>116</v>
      </c>
      <c r="H109" s="18" t="n"/>
      <c r="I109" s="18" t="n"/>
      <c r="J109" s="18" t="n"/>
      <c r="K109" s="19" t="n"/>
      <c r="L109" s="19" t="n"/>
      <c r="M109" s="20" t="n"/>
      <c r="N109" s="20" t="n">
        <v>50</v>
      </c>
      <c r="O109" s="20" t="n"/>
      <c r="P109" s="20">
        <f>O109-N109</f>
        <v/>
      </c>
      <c r="Q109" s="20">
        <f>P109*E109</f>
        <v/>
      </c>
      <c r="R109" s="20" t="n"/>
    </row>
    <row r="110" ht="20" customHeight="1" s="1">
      <c r="A110" s="21" t="inlineStr">
        <is>
          <t>10277</t>
        </is>
      </c>
      <c r="B110" s="22" t="inlineStr">
        <is>
          <t>NUR GİDA</t>
        </is>
      </c>
      <c r="C110" s="21" t="inlineStr">
        <is>
          <t>8699444260518</t>
        </is>
      </c>
      <c r="D110" s="22" t="inlineStr">
        <is>
          <t>Lara Aseton Green 80 ml (Yasil)</t>
        </is>
      </c>
      <c r="E110" s="23" t="n">
        <v>1.45</v>
      </c>
      <c r="F110" s="23" t="n">
        <v>48</v>
      </c>
      <c r="G110" s="23" t="n">
        <v>5</v>
      </c>
      <c r="H110" s="23" t="n">
        <v>5</v>
      </c>
      <c r="I110" s="23" t="n">
        <v>0</v>
      </c>
      <c r="J110" s="23" t="n"/>
      <c r="K110" s="19">
        <f>H110+I110+J110</f>
        <v/>
      </c>
      <c r="L110" s="19">
        <f>K110-G110</f>
        <v/>
      </c>
      <c r="M110" s="20">
        <f>L110*E110</f>
        <v/>
      </c>
      <c r="N110" s="20" t="n">
        <v>50</v>
      </c>
      <c r="O110" s="20" t="n"/>
      <c r="P110" s="20">
        <f>O110-N110</f>
        <v/>
      </c>
      <c r="Q110" s="20">
        <f>P110*E110</f>
        <v/>
      </c>
      <c r="R110" s="20" t="n"/>
    </row>
    <row r="111" ht="20" customHeight="1" s="1">
      <c r="A111" s="21" t="inlineStr">
        <is>
          <t>11704</t>
        </is>
      </c>
      <c r="B111" s="22" t="inlineStr">
        <is>
          <t>NUR GİDA</t>
        </is>
      </c>
      <c r="C111" s="21" t="inlineStr">
        <is>
          <t>8699444264707</t>
        </is>
      </c>
      <c r="D111" s="22" t="inlineStr">
        <is>
          <t>Lara Aseton Nemlendirici (Blue) 450 ml(Mavi)</t>
        </is>
      </c>
      <c r="E111" s="23" t="n">
        <v>4.25</v>
      </c>
      <c r="F111" s="23" t="n">
        <v>24</v>
      </c>
      <c r="G111" s="23" t="n">
        <v>54</v>
      </c>
      <c r="H111" s="23" t="n"/>
      <c r="I111" s="23" t="n"/>
      <c r="J111" s="23" t="n"/>
      <c r="K111" s="19" t="n"/>
      <c r="L111" s="19" t="n"/>
      <c r="M111" s="20" t="n"/>
      <c r="N111" s="20" t="n">
        <v>50</v>
      </c>
      <c r="O111" s="20" t="n"/>
      <c r="P111" s="20">
        <f>O111-N111</f>
        <v/>
      </c>
      <c r="Q111" s="20">
        <f>P111*E111</f>
        <v/>
      </c>
      <c r="R111" s="20" t="n"/>
    </row>
    <row r="112" ht="20" customHeight="1" s="1">
      <c r="A112" s="16" t="inlineStr">
        <is>
          <t>19111</t>
        </is>
      </c>
      <c r="B112" s="17" t="inlineStr">
        <is>
          <t>NUR GİDA</t>
        </is>
      </c>
      <c r="C112" s="16" t="inlineStr">
        <is>
          <t>8699444261270</t>
        </is>
      </c>
      <c r="D112" s="17" t="inlineStr">
        <is>
          <t>Lara Aseton Pink 130ml (Cehrayi)</t>
        </is>
      </c>
      <c r="E112" s="18" t="n">
        <v>1.75</v>
      </c>
      <c r="F112" s="18" t="n">
        <v>48</v>
      </c>
      <c r="G112" s="18" t="n">
        <v>79</v>
      </c>
      <c r="H112" s="18" t="n">
        <v>5</v>
      </c>
      <c r="I112" s="18" t="n">
        <v>74</v>
      </c>
      <c r="J112" s="18" t="n"/>
      <c r="K112" s="19">
        <f>H112+I112+J112</f>
        <v/>
      </c>
      <c r="L112" s="19">
        <f>K112-G112</f>
        <v/>
      </c>
      <c r="M112" s="20">
        <f>L112*E112</f>
        <v/>
      </c>
      <c r="N112" s="20" t="n">
        <v>50</v>
      </c>
      <c r="O112" s="20" t="n"/>
      <c r="P112" s="20">
        <f>O112-N112</f>
        <v/>
      </c>
      <c r="Q112" s="20">
        <f>P112*E112</f>
        <v/>
      </c>
      <c r="R112" s="20" t="n"/>
    </row>
    <row r="113" ht="20" customHeight="1" s="1">
      <c r="A113" s="16" t="inlineStr">
        <is>
          <t>10458</t>
        </is>
      </c>
      <c r="B113" s="17" t="inlineStr">
        <is>
          <t>NUR GİDA</t>
        </is>
      </c>
      <c r="C113" s="16" t="inlineStr">
        <is>
          <t>8699444261287</t>
        </is>
      </c>
      <c r="D113" s="17" t="inlineStr">
        <is>
          <t>Lara Aseton Pink 200 ml (Cehrayi)</t>
        </is>
      </c>
      <c r="E113" s="18" t="n">
        <v>1.95</v>
      </c>
      <c r="F113" s="18" t="n">
        <v>48</v>
      </c>
      <c r="G113" s="18" t="n">
        <v>0</v>
      </c>
      <c r="H113" s="18" t="n"/>
      <c r="I113" s="18" t="n"/>
      <c r="J113" s="18" t="n"/>
      <c r="K113" s="19" t="n"/>
      <c r="L113" s="19" t="n"/>
      <c r="M113" s="20" t="n"/>
      <c r="N113" s="20" t="n">
        <v>50</v>
      </c>
      <c r="O113" s="20" t="n"/>
      <c r="P113" s="20">
        <f>O113-N113</f>
        <v/>
      </c>
      <c r="Q113" s="20">
        <f>P113*E113</f>
        <v/>
      </c>
      <c r="R113" s="20" t="n"/>
    </row>
    <row r="114" ht="20" customHeight="1" s="1">
      <c r="A114" s="16" t="inlineStr">
        <is>
          <t>10459</t>
        </is>
      </c>
      <c r="B114" s="17" t="inlineStr">
        <is>
          <t>NUR GİDA</t>
        </is>
      </c>
      <c r="C114" s="16" t="inlineStr">
        <is>
          <t>8699444261263</t>
        </is>
      </c>
      <c r="D114" s="17" t="inlineStr">
        <is>
          <t>Lara Aseton Pink 80 ml (Cehrayi)</t>
        </is>
      </c>
      <c r="E114" s="18" t="n">
        <v>1.45</v>
      </c>
      <c r="F114" s="18" t="n">
        <v>48</v>
      </c>
      <c r="G114" s="18" t="n">
        <v>21</v>
      </c>
      <c r="H114" s="18" t="n">
        <v>3</v>
      </c>
      <c r="I114" s="18" t="n">
        <v>18</v>
      </c>
      <c r="J114" s="18" t="n"/>
      <c r="K114" s="19">
        <f>H114+I114+J114</f>
        <v/>
      </c>
      <c r="L114" s="19">
        <f>K114-G114</f>
        <v/>
      </c>
      <c r="M114" s="20">
        <f>L114*E114</f>
        <v/>
      </c>
      <c r="N114" s="20" t="n">
        <v>50</v>
      </c>
      <c r="O114" s="20" t="n"/>
      <c r="P114" s="20">
        <f>O114-N114</f>
        <v/>
      </c>
      <c r="Q114" s="20">
        <f>P114*E114</f>
        <v/>
      </c>
      <c r="R114" s="20" t="n"/>
    </row>
    <row r="115" ht="20" customHeight="1" s="1">
      <c r="A115" s="21" t="inlineStr">
        <is>
          <t>10422</t>
        </is>
      </c>
      <c r="B115" s="22" t="inlineStr">
        <is>
          <t>NUR GİDA</t>
        </is>
      </c>
      <c r="C115" s="21" t="n"/>
      <c r="D115" s="22" t="inlineStr">
        <is>
          <t>Lara Aseton Purple 200 ml</t>
        </is>
      </c>
      <c r="E115" s="23" t="n">
        <v>1.95</v>
      </c>
      <c r="F115" s="23" t="n">
        <v>48</v>
      </c>
      <c r="G115" s="23" t="n">
        <v>0</v>
      </c>
      <c r="H115" s="23" t="n"/>
      <c r="I115" s="23" t="n">
        <v>0</v>
      </c>
      <c r="J115" s="23" t="n"/>
      <c r="K115" s="19">
        <f>H115+I115+J115</f>
        <v/>
      </c>
      <c r="L115" s="19">
        <f>K115-G115</f>
        <v/>
      </c>
      <c r="M115" s="20">
        <f>L115*E115</f>
        <v/>
      </c>
      <c r="N115" s="20" t="n">
        <v>50</v>
      </c>
      <c r="O115" s="20" t="n"/>
      <c r="P115" s="20" t="n"/>
      <c r="Q115" s="20" t="n"/>
      <c r="R115" s="20" t="n"/>
    </row>
    <row r="116" ht="20" customHeight="1" s="1">
      <c r="A116" s="21" t="inlineStr">
        <is>
          <t>10142</t>
        </is>
      </c>
      <c r="B116" s="22" t="inlineStr">
        <is>
          <t>NUR GİDA</t>
        </is>
      </c>
      <c r="C116" s="21" t="inlineStr">
        <is>
          <t>8699444260846</t>
        </is>
      </c>
      <c r="D116" s="22" t="inlineStr">
        <is>
          <t>Lara Aseton Tirnak besleyici (Pink) 450 ml(Cehrayi)</t>
        </is>
      </c>
      <c r="E116" s="23" t="n">
        <v>4.25</v>
      </c>
      <c r="F116" s="23" t="n">
        <v>24</v>
      </c>
      <c r="G116" s="23" t="n">
        <v>35</v>
      </c>
      <c r="H116" s="23" t="n"/>
      <c r="I116" s="23" t="n"/>
      <c r="J116" s="23" t="n"/>
      <c r="K116" s="19" t="n"/>
      <c r="L116" s="19" t="n"/>
      <c r="M116" s="20" t="n"/>
      <c r="N116" s="20" t="n">
        <v>50</v>
      </c>
      <c r="O116" s="20" t="n"/>
      <c r="P116" s="20">
        <f>O116-N116</f>
        <v/>
      </c>
      <c r="Q116" s="20">
        <f>P116*E116</f>
        <v/>
      </c>
      <c r="R116" s="20" t="n"/>
    </row>
    <row r="117" ht="20" customHeight="1" s="1">
      <c r="A117" s="16" t="inlineStr">
        <is>
          <t>10504</t>
        </is>
      </c>
      <c r="B117" s="17" t="inlineStr">
        <is>
          <t>NUR GİDA</t>
        </is>
      </c>
      <c r="C117" s="16" t="inlineStr">
        <is>
          <t>8699444264165</t>
        </is>
      </c>
      <c r="D117" s="17" t="inlineStr">
        <is>
          <t>Lara Baby Shampoo 200ml Fliptop</t>
        </is>
      </c>
      <c r="E117" s="18" t="n">
        <v>1.8</v>
      </c>
      <c r="F117" s="18" t="n">
        <v>24</v>
      </c>
      <c r="G117" s="18" t="n">
        <v>52</v>
      </c>
      <c r="H117" s="18" t="n"/>
      <c r="I117" s="18" t="n">
        <v>52</v>
      </c>
      <c r="J117" s="18" t="n"/>
      <c r="K117" s="19">
        <f>H117+I117+J117</f>
        <v/>
      </c>
      <c r="L117" s="19">
        <f>K117-G117</f>
        <v/>
      </c>
      <c r="M117" s="20">
        <f>L117*E117</f>
        <v/>
      </c>
      <c r="N117" s="20" t="n">
        <v>50</v>
      </c>
      <c r="O117" s="20" t="n"/>
      <c r="P117" s="20">
        <f>O117-N117</f>
        <v/>
      </c>
      <c r="Q117" s="20">
        <f>P117*E117</f>
        <v/>
      </c>
      <c r="R117" s="20" t="n"/>
    </row>
    <row r="118" ht="20" customHeight="1" s="1">
      <c r="A118" s="21" t="inlineStr">
        <is>
          <t>10590</t>
        </is>
      </c>
      <c r="B118" s="22" t="inlineStr">
        <is>
          <t>NUR GİDA</t>
        </is>
      </c>
      <c r="C118" s="21" t="inlineStr">
        <is>
          <t>8699444264172</t>
        </is>
      </c>
      <c r="D118" s="22" t="inlineStr">
        <is>
          <t>Lara Baby Shampoo 500ml Pump</t>
        </is>
      </c>
      <c r="E118" s="23" t="n">
        <v>3.8</v>
      </c>
      <c r="F118" s="23" t="n">
        <v>12</v>
      </c>
      <c r="G118" s="23" t="n">
        <v>44</v>
      </c>
      <c r="H118" s="23" t="n">
        <v>1</v>
      </c>
      <c r="I118" s="23" t="n">
        <v>43</v>
      </c>
      <c r="J118" s="23" t="n"/>
      <c r="K118" s="19">
        <f>H118+I118+J118</f>
        <v/>
      </c>
      <c r="L118" s="19">
        <f>K118-G118</f>
        <v/>
      </c>
      <c r="M118" s="20">
        <f>L118*E118</f>
        <v/>
      </c>
      <c r="N118" s="20" t="n">
        <v>50</v>
      </c>
      <c r="O118" s="20" t="n"/>
      <c r="P118" s="20">
        <f>O118-N118</f>
        <v/>
      </c>
      <c r="Q118" s="20">
        <f>P118*E118</f>
        <v/>
      </c>
      <c r="R118" s="20" t="n"/>
    </row>
    <row r="119" ht="20" customHeight="1" s="1">
      <c r="A119" s="16" t="inlineStr">
        <is>
          <t>12183</t>
        </is>
      </c>
      <c r="B119" s="17" t="inlineStr">
        <is>
          <t>NUR GİDA</t>
        </is>
      </c>
      <c r="C119" s="16" t="inlineStr">
        <is>
          <t>8699444264189</t>
        </is>
      </c>
      <c r="D119" s="17" t="inlineStr">
        <is>
          <t>Lara Baby Shampoo 800ml Pump</t>
        </is>
      </c>
      <c r="E119" s="18" t="n">
        <v>4.7</v>
      </c>
      <c r="F119" s="18" t="n">
        <v>12</v>
      </c>
      <c r="G119" s="18" t="n">
        <v>0</v>
      </c>
      <c r="H119" s="18" t="n"/>
      <c r="I119" s="18" t="n">
        <v>0</v>
      </c>
      <c r="J119" s="18" t="n"/>
      <c r="K119" s="19">
        <f>H119+I119+J119</f>
        <v/>
      </c>
      <c r="L119" s="19">
        <f>K119-G119</f>
        <v/>
      </c>
      <c r="M119" s="20">
        <f>L119*E119</f>
        <v/>
      </c>
      <c r="N119" s="20" t="n">
        <v>50</v>
      </c>
      <c r="O119" s="20" t="n"/>
      <c r="P119" s="20">
        <f>O119-N119</f>
        <v/>
      </c>
      <c r="Q119" s="20">
        <f>P119*E119</f>
        <v/>
      </c>
      <c r="R119" s="20" t="n"/>
    </row>
    <row r="120" ht="20" customHeight="1" s="1">
      <c r="A120" s="21" t="inlineStr">
        <is>
          <t>11639</t>
        </is>
      </c>
      <c r="B120" s="22" t="inlineStr">
        <is>
          <t>NUR GİDA</t>
        </is>
      </c>
      <c r="C120" s="21" t="inlineStr">
        <is>
          <t>8699444261188</t>
        </is>
      </c>
      <c r="D120" s="22" t="inlineStr">
        <is>
          <t>Lara Baby Soft Premium 120pcs qapaqli</t>
        </is>
      </c>
      <c r="E120" s="23" t="n">
        <v>2.5</v>
      </c>
      <c r="F120" s="23" t="n">
        <v>12</v>
      </c>
      <c r="G120" s="23" t="n">
        <v>126</v>
      </c>
      <c r="H120" s="23" t="n">
        <v>1</v>
      </c>
      <c r="I120" s="23" t="n">
        <v>125</v>
      </c>
      <c r="J120" s="23" t="n"/>
      <c r="K120" s="19">
        <f>H120+I120+J120</f>
        <v/>
      </c>
      <c r="L120" s="19">
        <f>K120-G120</f>
        <v/>
      </c>
      <c r="M120" s="20">
        <f>L120*E120</f>
        <v/>
      </c>
      <c r="N120" s="20" t="n">
        <v>50</v>
      </c>
      <c r="O120" s="20" t="n"/>
      <c r="P120" s="20">
        <f>O120-N120</f>
        <v/>
      </c>
      <c r="Q120" s="20">
        <f>P120*E120</f>
        <v/>
      </c>
      <c r="R120" s="20" t="n"/>
    </row>
    <row r="121" ht="20" customHeight="1" s="1">
      <c r="A121" s="16" t="inlineStr">
        <is>
          <t>10185</t>
        </is>
      </c>
      <c r="B121" s="17" t="inlineStr">
        <is>
          <t>NUR GİDA</t>
        </is>
      </c>
      <c r="C121" s="16" t="inlineStr">
        <is>
          <t>8699444260259</t>
        </is>
      </c>
      <c r="D121" s="17" t="inlineStr">
        <is>
          <t>Lara Baby Soft ramaska XXL 120pcs qapaqli</t>
        </is>
      </c>
      <c r="E121" s="18" t="n">
        <v>2.7</v>
      </c>
      <c r="F121" s="18" t="n">
        <v>12</v>
      </c>
      <c r="G121" s="18" t="n">
        <v>63</v>
      </c>
      <c r="H121" s="18" t="n"/>
      <c r="I121" s="18" t="n">
        <v>63</v>
      </c>
      <c r="J121" s="18" t="n"/>
      <c r="K121" s="19">
        <f>H121+I121+J121</f>
        <v/>
      </c>
      <c r="L121" s="19">
        <f>K121-G121</f>
        <v/>
      </c>
      <c r="M121" s="20">
        <f>L121*E121</f>
        <v/>
      </c>
      <c r="N121" s="20" t="n">
        <v>50</v>
      </c>
      <c r="O121" s="20" t="n"/>
      <c r="P121" s="20">
        <f>O121-N121</f>
        <v/>
      </c>
      <c r="Q121" s="20">
        <f>P121*E121</f>
        <v/>
      </c>
      <c r="R121" s="20" t="n"/>
    </row>
    <row r="122" ht="20" customHeight="1" s="1">
      <c r="A122" s="21" t="inlineStr">
        <is>
          <t>11598</t>
        </is>
      </c>
      <c r="B122" s="22" t="inlineStr">
        <is>
          <t>NUR GİDA</t>
        </is>
      </c>
      <c r="C122" s="21" t="inlineStr">
        <is>
          <t>8699444260266</t>
        </is>
      </c>
      <c r="D122" s="22" t="inlineStr">
        <is>
          <t>Lara Baby Soft Sensitive 72pcs qapaqli</t>
        </is>
      </c>
      <c r="E122" s="23" t="n">
        <v>1.5</v>
      </c>
      <c r="F122" s="23" t="n">
        <v>36</v>
      </c>
      <c r="G122" s="23" t="n">
        <v>38</v>
      </c>
      <c r="H122" s="23" t="n"/>
      <c r="I122" s="23" t="n"/>
      <c r="J122" s="23" t="n"/>
      <c r="K122" s="19" t="n"/>
      <c r="L122" s="19" t="n"/>
      <c r="M122" s="20" t="n"/>
      <c r="N122" s="20" t="n">
        <v>50</v>
      </c>
      <c r="O122" s="20" t="n"/>
      <c r="P122" s="20">
        <f>O122-N122</f>
        <v/>
      </c>
      <c r="Q122" s="20">
        <f>P122*E122</f>
        <v/>
      </c>
      <c r="R122" s="20" t="n"/>
    </row>
    <row r="123" ht="20" customHeight="1" s="1">
      <c r="A123" s="16" t="inlineStr">
        <is>
          <t>18775</t>
        </is>
      </c>
      <c r="B123" s="17" t="inlineStr">
        <is>
          <t>NUR GİDA</t>
        </is>
      </c>
      <c r="C123" s="16" t="inlineStr">
        <is>
          <t>8699444260044</t>
        </is>
      </c>
      <c r="D123" s="17" t="inlineStr">
        <is>
          <t>Lara Cologne 200ml Lemon Spray</t>
        </is>
      </c>
      <c r="E123" s="18" t="n">
        <v>2.3</v>
      </c>
      <c r="F123" s="18" t="n">
        <v>48</v>
      </c>
      <c r="G123" s="18" t="n">
        <v>0</v>
      </c>
      <c r="H123" s="18" t="n"/>
      <c r="I123" s="18" t="n">
        <v>0</v>
      </c>
      <c r="J123" s="18" t="n"/>
      <c r="K123" s="19">
        <f>H123+I123+J123</f>
        <v/>
      </c>
      <c r="L123" s="19">
        <f>K123-G123</f>
        <v/>
      </c>
      <c r="M123" s="20">
        <f>L123*E123</f>
        <v/>
      </c>
      <c r="N123" s="20" t="n">
        <v>50</v>
      </c>
      <c r="O123" s="20" t="n"/>
      <c r="P123" s="20">
        <f>O123-N123</f>
        <v/>
      </c>
      <c r="Q123" s="20">
        <f>P123*E123</f>
        <v/>
      </c>
      <c r="R123" s="20" t="n"/>
    </row>
    <row r="124" ht="20" customHeight="1" s="1">
      <c r="A124" s="21" t="inlineStr">
        <is>
          <t>18774</t>
        </is>
      </c>
      <c r="B124" s="22" t="inlineStr">
        <is>
          <t>NUR GİDA</t>
        </is>
      </c>
      <c r="C124" s="21" t="inlineStr">
        <is>
          <t>8699444260037</t>
        </is>
      </c>
      <c r="D124" s="22" t="inlineStr">
        <is>
          <t>Lara Cologne 400ml Lemon</t>
        </is>
      </c>
      <c r="E124" s="23" t="n">
        <v>3.3</v>
      </c>
      <c r="F124" s="23" t="n">
        <v>24</v>
      </c>
      <c r="G124" s="23" t="n">
        <v>16</v>
      </c>
      <c r="H124" s="23" t="n"/>
      <c r="I124" s="23" t="n">
        <v>16</v>
      </c>
      <c r="J124" s="23" t="n"/>
      <c r="K124" s="19">
        <f>H124+I124+J124</f>
        <v/>
      </c>
      <c r="L124" s="19">
        <f>K124-G124</f>
        <v/>
      </c>
      <c r="M124" s="20">
        <f>L124*E124</f>
        <v/>
      </c>
      <c r="N124" s="20" t="n">
        <v>50</v>
      </c>
      <c r="O124" s="20" t="n">
        <v>20</v>
      </c>
      <c r="P124" s="20">
        <f>O124-N124</f>
        <v/>
      </c>
      <c r="Q124" s="20">
        <f>P124*E124</f>
        <v/>
      </c>
      <c r="R124" s="20" t="inlineStr">
        <is>
          <t>Vuqar</t>
        </is>
      </c>
    </row>
    <row r="125" ht="20" customHeight="1" s="1">
      <c r="A125" s="21" t="inlineStr">
        <is>
          <t>10002</t>
        </is>
      </c>
      <c r="B125" s="22" t="inlineStr">
        <is>
          <t>NUR GİDA</t>
        </is>
      </c>
      <c r="C125" s="21" t="inlineStr">
        <is>
          <t>8699444260754</t>
        </is>
      </c>
      <c r="D125" s="22" t="inlineStr">
        <is>
          <t>Lara Fres Vintage 15pcs</t>
        </is>
      </c>
      <c r="E125" s="23" t="n">
        <v>0.4</v>
      </c>
      <c r="F125" s="23" t="n">
        <v>288</v>
      </c>
      <c r="G125" s="23" t="n">
        <v>1420</v>
      </c>
      <c r="H125" s="23" t="n"/>
      <c r="I125" s="23" t="n"/>
      <c r="J125" s="23" t="n"/>
      <c r="K125" s="19" t="n"/>
      <c r="L125" s="19" t="n"/>
      <c r="M125" s="20" t="n"/>
      <c r="N125" s="20" t="n">
        <v>50</v>
      </c>
      <c r="O125" s="20" t="n"/>
      <c r="P125" s="20">
        <f>O125-N125</f>
        <v/>
      </c>
      <c r="Q125" s="20">
        <f>P125*E125</f>
        <v/>
      </c>
      <c r="R125" s="20" t="n"/>
    </row>
    <row r="126" ht="20" customHeight="1" s="1">
      <c r="A126" s="16" t="inlineStr">
        <is>
          <t>16038</t>
        </is>
      </c>
      <c r="B126" s="17" t="inlineStr">
        <is>
          <t>NUR GİDA</t>
        </is>
      </c>
      <c r="C126" s="16" t="inlineStr">
        <is>
          <t>8699444260242</t>
        </is>
      </c>
      <c r="D126" s="17" t="inlineStr">
        <is>
          <t>Lara Fresh Cicekli Salfet 15 eded</t>
        </is>
      </c>
      <c r="E126" s="18" t="n">
        <v>0.45</v>
      </c>
      <c r="F126" s="18" t="n">
        <v>288</v>
      </c>
      <c r="G126" s="18" t="n">
        <v>816</v>
      </c>
      <c r="H126" s="18" t="n"/>
      <c r="I126" s="18" t="n">
        <v>816</v>
      </c>
      <c r="J126" s="18" t="n"/>
      <c r="K126" s="19">
        <f>H126+I126+J126</f>
        <v/>
      </c>
      <c r="L126" s="19">
        <f>K126-G126</f>
        <v/>
      </c>
      <c r="M126" s="20">
        <f>L126*E126</f>
        <v/>
      </c>
      <c r="N126" s="20" t="n">
        <v>50</v>
      </c>
      <c r="O126" s="20" t="n"/>
      <c r="P126" s="20">
        <f>O126-N126</f>
        <v/>
      </c>
      <c r="Q126" s="20">
        <f>P126*E126</f>
        <v/>
      </c>
      <c r="R126" s="20" t="n"/>
    </row>
    <row r="127" ht="20" customHeight="1" s="1">
      <c r="A127" s="21" t="inlineStr">
        <is>
          <t>11328</t>
        </is>
      </c>
      <c r="B127" s="22" t="inlineStr">
        <is>
          <t>NUR GİDA</t>
        </is>
      </c>
      <c r="C127" s="21" t="inlineStr">
        <is>
          <t>8699444263519</t>
        </is>
      </c>
      <c r="D127" s="22" t="inlineStr">
        <is>
          <t>Lara Gel dlya dusha Aroma Therapy 500ml</t>
        </is>
      </c>
      <c r="E127" s="23" t="n">
        <v>2.6</v>
      </c>
      <c r="F127" s="23" t="n">
        <v>12</v>
      </c>
      <c r="G127" s="23" t="n">
        <v>51</v>
      </c>
      <c r="H127" s="23" t="n"/>
      <c r="I127" s="23" t="n">
        <v>51</v>
      </c>
      <c r="J127" s="23" t="n"/>
      <c r="K127" s="19">
        <f>H127+I127+J127</f>
        <v/>
      </c>
      <c r="L127" s="19">
        <f>K127-G127</f>
        <v/>
      </c>
      <c r="M127" s="20">
        <f>L127*E127</f>
        <v/>
      </c>
      <c r="N127" s="20" t="n">
        <v>50</v>
      </c>
      <c r="O127" s="20" t="n"/>
      <c r="P127" s="20">
        <f>O127-N127</f>
        <v/>
      </c>
      <c r="Q127" s="20">
        <f>P127*E127</f>
        <v/>
      </c>
      <c r="R127" s="20" t="n"/>
    </row>
    <row r="128" ht="20" customHeight="1" s="1">
      <c r="A128" s="16" t="inlineStr">
        <is>
          <t>11734</t>
        </is>
      </c>
      <c r="B128" s="17" t="inlineStr">
        <is>
          <t>NUR GİDA</t>
        </is>
      </c>
      <c r="C128" s="16" t="inlineStr">
        <is>
          <t>8699444263533</t>
        </is>
      </c>
      <c r="D128" s="17" t="inlineStr">
        <is>
          <t>Lara Gel dlya dusha Cocunut 500ml</t>
        </is>
      </c>
      <c r="E128" s="18" t="n">
        <v>2.6</v>
      </c>
      <c r="F128" s="18" t="n">
        <v>12</v>
      </c>
      <c r="G128" s="18" t="n">
        <v>99</v>
      </c>
      <c r="H128" s="18" t="n"/>
      <c r="I128" s="18" t="n">
        <v>99</v>
      </c>
      <c r="J128" s="18" t="n"/>
      <c r="K128" s="19">
        <f>H128+I128+J128</f>
        <v/>
      </c>
      <c r="L128" s="19">
        <f>K128-G128</f>
        <v/>
      </c>
      <c r="M128" s="20">
        <f>L128*E128</f>
        <v/>
      </c>
      <c r="N128" s="20" t="n">
        <v>50</v>
      </c>
      <c r="O128" s="20" t="n"/>
      <c r="P128" s="20">
        <f>O128-N128</f>
        <v/>
      </c>
      <c r="Q128" s="20">
        <f>P128*E128</f>
        <v/>
      </c>
      <c r="R128" s="20" t="n"/>
    </row>
    <row r="129" ht="20" customHeight="1" s="1">
      <c r="A129" s="21" t="inlineStr">
        <is>
          <t>11735</t>
        </is>
      </c>
      <c r="B129" s="22" t="inlineStr">
        <is>
          <t>NUR GİDA</t>
        </is>
      </c>
      <c r="C129" s="21" t="inlineStr">
        <is>
          <t>8699444263526</t>
        </is>
      </c>
      <c r="D129" s="22" t="inlineStr">
        <is>
          <t>Lara Gel dlya dusha Energy 500ml</t>
        </is>
      </c>
      <c r="E129" s="23" t="n">
        <v>2.6</v>
      </c>
      <c r="F129" s="23" t="n">
        <v>12</v>
      </c>
      <c r="G129" s="23" t="n">
        <v>111</v>
      </c>
      <c r="H129" s="23" t="n"/>
      <c r="I129" s="23" t="n">
        <v>111</v>
      </c>
      <c r="J129" s="23" t="n"/>
      <c r="K129" s="19">
        <f>H129+I129+J129</f>
        <v/>
      </c>
      <c r="L129" s="19">
        <f>K129-G129</f>
        <v/>
      </c>
      <c r="M129" s="20">
        <f>L129*E129</f>
        <v/>
      </c>
      <c r="N129" s="20" t="n">
        <v>50</v>
      </c>
      <c r="O129" s="20" t="n"/>
      <c r="P129" s="20">
        <f>O129-N129</f>
        <v/>
      </c>
      <c r="Q129" s="20">
        <f>P129*E129</f>
        <v/>
      </c>
      <c r="R129" s="20" t="n"/>
    </row>
    <row r="130" ht="20" customHeight="1" s="1">
      <c r="A130" s="16" t="inlineStr">
        <is>
          <t>11290</t>
        </is>
      </c>
      <c r="B130" s="17" t="inlineStr">
        <is>
          <t>NUR GİDA</t>
        </is>
      </c>
      <c r="C130" s="16" t="inlineStr">
        <is>
          <t>8699444263502</t>
        </is>
      </c>
      <c r="D130" s="17" t="inlineStr">
        <is>
          <t>Lara Gel dlya dusha Okean 500ml</t>
        </is>
      </c>
      <c r="E130" s="18" t="n">
        <v>2.6</v>
      </c>
      <c r="F130" s="18" t="n">
        <v>12</v>
      </c>
      <c r="G130" s="18" t="n">
        <v>42</v>
      </c>
      <c r="H130" s="18" t="n"/>
      <c r="I130" s="18" t="n">
        <v>42</v>
      </c>
      <c r="J130" s="18" t="n"/>
      <c r="K130" s="19">
        <f>H130+I130+J130</f>
        <v/>
      </c>
      <c r="L130" s="19">
        <f>K130-G130</f>
        <v/>
      </c>
      <c r="M130" s="20">
        <f>L130*E130</f>
        <v/>
      </c>
      <c r="N130" s="20" t="n">
        <v>50</v>
      </c>
      <c r="O130" s="20" t="n"/>
      <c r="P130" s="20">
        <f>O130-N130</f>
        <v/>
      </c>
      <c r="Q130" s="20">
        <f>P130*E130</f>
        <v/>
      </c>
      <c r="R130" s="20" t="n"/>
    </row>
    <row r="131" ht="20" customHeight="1" s="1">
      <c r="A131" s="16" t="inlineStr">
        <is>
          <t>21765</t>
        </is>
      </c>
      <c r="B131" s="17" t="inlineStr">
        <is>
          <t>NUR GİDA</t>
        </is>
      </c>
      <c r="C131" s="16" t="inlineStr">
        <is>
          <t>8699444263946</t>
        </is>
      </c>
      <c r="D131" s="17" t="inlineStr">
        <is>
          <t>Lara Hygiene Seth Temizleyici Nem Salf 100pcs</t>
        </is>
      </c>
      <c r="E131" s="18" t="n">
        <v>6.9</v>
      </c>
      <c r="F131" s="18" t="n">
        <v>8</v>
      </c>
      <c r="G131" s="18" t="n">
        <v>45</v>
      </c>
      <c r="H131" s="18" t="n"/>
      <c r="I131" s="18" t="n">
        <v>45</v>
      </c>
      <c r="J131" s="18" t="n"/>
      <c r="K131" s="19">
        <f>H131+I131+J131</f>
        <v/>
      </c>
      <c r="L131" s="19">
        <f>K131-G131</f>
        <v/>
      </c>
      <c r="M131" s="20">
        <f>L131*E131</f>
        <v/>
      </c>
      <c r="N131" s="20" t="n">
        <v>50</v>
      </c>
      <c r="O131" s="20" t="n"/>
      <c r="P131" s="20">
        <f>O131-N131</f>
        <v/>
      </c>
      <c r="Q131" s="20">
        <f>P131*E131</f>
        <v/>
      </c>
      <c r="R131" s="20" t="n"/>
    </row>
    <row r="132" ht="20" customHeight="1" s="1">
      <c r="A132" s="21" t="inlineStr">
        <is>
          <t>21764</t>
        </is>
      </c>
      <c r="B132" s="22" t="inlineStr">
        <is>
          <t>NUR GİDA</t>
        </is>
      </c>
      <c r="C132" s="21" t="inlineStr">
        <is>
          <t>8699444263915</t>
        </is>
      </c>
      <c r="D132" s="22" t="inlineStr">
        <is>
          <t>Lara Hygiene Seth Temizleyici Nem Salf 50pcs</t>
        </is>
      </c>
      <c r="E132" s="23" t="n">
        <v>3.9</v>
      </c>
      <c r="F132" s="23" t="n">
        <v>16</v>
      </c>
      <c r="G132" s="23" t="n">
        <v>29</v>
      </c>
      <c r="H132" s="23" t="n"/>
      <c r="I132" s="23" t="n">
        <v>29</v>
      </c>
      <c r="J132" s="23" t="n"/>
      <c r="K132" s="19">
        <f>H132+I132+J132</f>
        <v/>
      </c>
      <c r="L132" s="19">
        <f>K132-G132</f>
        <v/>
      </c>
      <c r="M132" s="20">
        <f>L132*E132</f>
        <v/>
      </c>
      <c r="N132" s="20" t="n">
        <v>50</v>
      </c>
      <c r="O132" s="20" t="n"/>
      <c r="P132" s="20">
        <f>O132-N132</f>
        <v/>
      </c>
      <c r="Q132" s="20">
        <f>P132*E132</f>
        <v/>
      </c>
      <c r="R132" s="20" t="n"/>
    </row>
    <row r="133" ht="20" customHeight="1" s="1">
      <c r="A133" s="21" t="inlineStr">
        <is>
          <t>10166</t>
        </is>
      </c>
      <c r="B133" s="22" t="inlineStr">
        <is>
          <t>NUR GİDA</t>
        </is>
      </c>
      <c r="C133" s="21" t="inlineStr">
        <is>
          <t>8699444260488</t>
        </is>
      </c>
      <c r="D133" s="22" t="inlineStr">
        <is>
          <t>Lara intimate 20pcs</t>
        </is>
      </c>
      <c r="E133" s="23" t="n">
        <v>1.3</v>
      </c>
      <c r="F133" s="23" t="n">
        <v>96</v>
      </c>
      <c r="G133" s="23" t="n">
        <v>102</v>
      </c>
      <c r="H133" s="23" t="n"/>
      <c r="I133" s="23" t="n">
        <v>102</v>
      </c>
      <c r="J133" s="23" t="n"/>
      <c r="K133" s="19">
        <f>H133+I133+J133</f>
        <v/>
      </c>
      <c r="L133" s="19">
        <f>K133-G133</f>
        <v/>
      </c>
      <c r="M133" s="20">
        <f>L133*E133</f>
        <v/>
      </c>
      <c r="N133" s="20" t="n">
        <v>50</v>
      </c>
      <c r="O133" s="20" t="n"/>
      <c r="P133" s="20">
        <f>O133-N133</f>
        <v/>
      </c>
      <c r="Q133" s="20">
        <f>P133*E133</f>
        <v/>
      </c>
      <c r="R133" s="20" t="n"/>
    </row>
    <row r="134" ht="20" customHeight="1" s="1">
      <c r="A134" s="21" t="inlineStr">
        <is>
          <t>10063</t>
        </is>
      </c>
      <c r="B134" s="22" t="inlineStr">
        <is>
          <t>NUR GİDA</t>
        </is>
      </c>
      <c r="C134" s="21" t="inlineStr">
        <is>
          <t>8699444260334</t>
        </is>
      </c>
      <c r="D134" s="22" t="inlineStr">
        <is>
          <t>LARA kulak pamugu 200-lü yuvarlak</t>
        </is>
      </c>
      <c r="E134" s="23" t="n">
        <v>1.75</v>
      </c>
      <c r="F134" s="23" t="n">
        <v>144</v>
      </c>
      <c r="G134" s="23" t="n">
        <v>561</v>
      </c>
      <c r="H134" s="23" t="n"/>
      <c r="I134" s="23" t="n"/>
      <c r="J134" s="23" t="n"/>
      <c r="K134" s="19" t="n"/>
      <c r="L134" s="19" t="n"/>
      <c r="M134" s="20" t="n"/>
      <c r="N134" s="20" t="n">
        <v>50</v>
      </c>
      <c r="O134" s="20" t="n"/>
      <c r="P134" s="20">
        <f>O134-N134</f>
        <v/>
      </c>
      <c r="Q134" s="20">
        <f>P134*E134</f>
        <v/>
      </c>
      <c r="R134" s="20" t="n"/>
    </row>
    <row r="135" ht="20" customHeight="1" s="1">
      <c r="A135" s="16" t="inlineStr">
        <is>
          <t>11675</t>
        </is>
      </c>
      <c r="B135" s="17" t="inlineStr">
        <is>
          <t>NUR GİDA</t>
        </is>
      </c>
      <c r="C135" s="16" t="inlineStr">
        <is>
          <t>8699444261577</t>
        </is>
      </c>
      <c r="D135" s="17" t="inlineStr">
        <is>
          <t>LARA kulak pamugu 300-lü yuvarlak</t>
        </is>
      </c>
      <c r="E135" s="18" t="n">
        <v>2.45</v>
      </c>
      <c r="F135" s="18" t="n">
        <v>72</v>
      </c>
      <c r="G135" s="18" t="n">
        <v>562</v>
      </c>
      <c r="H135" s="18" t="n"/>
      <c r="I135" s="18" t="n"/>
      <c r="J135" s="18" t="n"/>
      <c r="K135" s="19" t="n"/>
      <c r="L135" s="19" t="n"/>
      <c r="M135" s="20" t="n"/>
      <c r="N135" s="20" t="n">
        <v>50</v>
      </c>
      <c r="O135" s="20" t="n"/>
      <c r="P135" s="20">
        <f>O135-N135</f>
        <v/>
      </c>
      <c r="Q135" s="20">
        <f>P135*E135</f>
        <v/>
      </c>
      <c r="R135" s="20" t="n"/>
    </row>
    <row r="136" ht="20" customHeight="1" s="1">
      <c r="A136" s="21" t="inlineStr">
        <is>
          <t>10026</t>
        </is>
      </c>
      <c r="B136" s="22" t="inlineStr">
        <is>
          <t>NUR GİDA</t>
        </is>
      </c>
      <c r="C136" s="21" t="inlineStr">
        <is>
          <t>8699444260198</t>
        </is>
      </c>
      <c r="D136" s="22" t="inlineStr">
        <is>
          <t>LARA kulak pamuqu 100-lü</t>
        </is>
      </c>
      <c r="E136" s="23" t="n">
        <v>1.05</v>
      </c>
      <c r="F136" s="23" t="n">
        <v>144</v>
      </c>
      <c r="G136" s="23" t="n">
        <v>564</v>
      </c>
      <c r="H136" s="23" t="n"/>
      <c r="I136" s="23" t="n"/>
      <c r="J136" s="23" t="n"/>
      <c r="K136" s="19" t="n"/>
      <c r="L136" s="19" t="n"/>
      <c r="M136" s="20" t="n"/>
      <c r="N136" s="20" t="n">
        <v>50</v>
      </c>
      <c r="O136" s="20" t="n"/>
      <c r="P136" s="20">
        <f>O136-N136</f>
        <v/>
      </c>
      <c r="Q136" s="20">
        <f>P136*E136</f>
        <v/>
      </c>
      <c r="R136" s="20" t="n"/>
    </row>
    <row r="137" ht="20" customHeight="1" s="1">
      <c r="A137" s="16" t="inlineStr">
        <is>
          <t>10007</t>
        </is>
      </c>
      <c r="B137" s="17" t="inlineStr">
        <is>
          <t>NUR GİDA</t>
        </is>
      </c>
      <c r="C137" s="16" t="inlineStr">
        <is>
          <t>8699444260181</t>
        </is>
      </c>
      <c r="D137" s="17" t="inlineStr">
        <is>
          <t>LARA kulak pamuqu 200-lü Kare</t>
        </is>
      </c>
      <c r="E137" s="18" t="n">
        <v>1.75</v>
      </c>
      <c r="F137" s="18" t="n">
        <v>144</v>
      </c>
      <c r="G137" s="18" t="n">
        <v>322</v>
      </c>
      <c r="H137" s="18" t="n"/>
      <c r="I137" s="18" t="n"/>
      <c r="J137" s="18" t="n"/>
      <c r="K137" s="19" t="n"/>
      <c r="L137" s="19" t="n"/>
      <c r="M137" s="20" t="n"/>
      <c r="N137" s="20" t="n">
        <v>50</v>
      </c>
      <c r="O137" s="20" t="n"/>
      <c r="P137" s="20">
        <f>O137-N137</f>
        <v/>
      </c>
      <c r="Q137" s="20">
        <f>P137*E137</f>
        <v/>
      </c>
      <c r="R137" s="20" t="n"/>
    </row>
    <row r="138" ht="20" customHeight="1" s="1">
      <c r="A138" s="16" t="inlineStr">
        <is>
          <t>11676</t>
        </is>
      </c>
      <c r="B138" s="17" t="inlineStr">
        <is>
          <t>NUR GİDA</t>
        </is>
      </c>
      <c r="C138" s="16" t="inlineStr">
        <is>
          <t>8699444260341</t>
        </is>
      </c>
      <c r="D138" s="17" t="inlineStr">
        <is>
          <t>LARA kulak pamuqu 60-li Baby</t>
        </is>
      </c>
      <c r="E138" s="18" t="n">
        <v>1.5</v>
      </c>
      <c r="F138" s="18" t="n">
        <v>144</v>
      </c>
      <c r="G138" s="18" t="n">
        <v>202</v>
      </c>
      <c r="H138" s="18" t="n"/>
      <c r="I138" s="18" t="n"/>
      <c r="J138" s="18" t="n"/>
      <c r="K138" s="19" t="n"/>
      <c r="L138" s="19" t="n"/>
      <c r="M138" s="20" t="n"/>
      <c r="N138" s="20" t="n">
        <v>50</v>
      </c>
      <c r="O138" s="20" t="n"/>
      <c r="P138" s="20">
        <f>O138-N138</f>
        <v/>
      </c>
      <c r="Q138" s="20">
        <f>P138*E138</f>
        <v/>
      </c>
      <c r="R138" s="20" t="n"/>
    </row>
    <row r="139" ht="20" customHeight="1" s="1">
      <c r="A139" s="16" t="inlineStr">
        <is>
          <t>11677</t>
        </is>
      </c>
      <c r="B139" s="17" t="inlineStr">
        <is>
          <t>NUR GİDA</t>
        </is>
      </c>
      <c r="C139" s="16" t="inlineStr">
        <is>
          <t>8699444260785</t>
        </is>
      </c>
      <c r="D139" s="17" t="inlineStr">
        <is>
          <t>Lara Make disqi 100pcs</t>
        </is>
      </c>
      <c r="E139" s="18" t="n">
        <v>2.45</v>
      </c>
      <c r="F139" s="18" t="n">
        <v>48</v>
      </c>
      <c r="G139" s="18" t="n">
        <v>220</v>
      </c>
      <c r="H139" s="18" t="n"/>
      <c r="I139" s="18" t="n">
        <v>220</v>
      </c>
      <c r="J139" s="18" t="n"/>
      <c r="K139" s="19">
        <f>H139+I139+J139</f>
        <v/>
      </c>
      <c r="L139" s="19">
        <f>K139-G139</f>
        <v/>
      </c>
      <c r="M139" s="20">
        <f>L139*E139</f>
        <v/>
      </c>
      <c r="N139" s="20" t="n">
        <v>50</v>
      </c>
      <c r="O139" s="20" t="n"/>
      <c r="P139" s="20">
        <f>O139-N139</f>
        <v/>
      </c>
      <c r="Q139" s="20">
        <f>P139*E139</f>
        <v/>
      </c>
      <c r="R139" s="20" t="n"/>
    </row>
    <row r="140" ht="20" customHeight="1" s="1">
      <c r="A140" s="21" t="inlineStr">
        <is>
          <t>11621</t>
        </is>
      </c>
      <c r="B140" s="22" t="inlineStr">
        <is>
          <t>NUR GİDA</t>
        </is>
      </c>
      <c r="C140" s="21" t="inlineStr">
        <is>
          <t>8699444260761</t>
        </is>
      </c>
      <c r="D140" s="22" t="inlineStr">
        <is>
          <t>Lara Make disqi 70pcs</t>
        </is>
      </c>
      <c r="E140" s="23" t="n">
        <v>1.7</v>
      </c>
      <c r="F140" s="23" t="n">
        <v>48</v>
      </c>
      <c r="G140" s="23" t="n">
        <v>176</v>
      </c>
      <c r="H140" s="23" t="n"/>
      <c r="I140" s="23" t="n">
        <v>176</v>
      </c>
      <c r="J140" s="23" t="n"/>
      <c r="K140" s="19">
        <f>H140+I140+J140</f>
        <v/>
      </c>
      <c r="L140" s="19">
        <f>K140-G140</f>
        <v/>
      </c>
      <c r="M140" s="20">
        <f>L140*E140</f>
        <v/>
      </c>
      <c r="N140" s="20" t="n">
        <v>50</v>
      </c>
      <c r="O140" s="20" t="n"/>
      <c r="P140" s="20">
        <f>O140-N140</f>
        <v/>
      </c>
      <c r="Q140" s="20">
        <f>P140*E140</f>
        <v/>
      </c>
      <c r="R140" s="20" t="n"/>
    </row>
    <row r="141" ht="20" customHeight="1" s="1">
      <c r="A141" s="16" t="inlineStr">
        <is>
          <t>10125</t>
        </is>
      </c>
      <c r="B141" s="17" t="inlineStr">
        <is>
          <t>NUR GİDA</t>
        </is>
      </c>
      <c r="C141" s="16" t="inlineStr">
        <is>
          <t>8699444260440</t>
        </is>
      </c>
      <c r="D141" s="17" t="inlineStr">
        <is>
          <t>Lara Make Up 20pcs</t>
        </is>
      </c>
      <c r="E141" s="18" t="n">
        <v>1.3</v>
      </c>
      <c r="F141" s="18" t="n">
        <v>96</v>
      </c>
      <c r="G141" s="18" t="n">
        <v>0</v>
      </c>
      <c r="H141" s="18" t="n"/>
      <c r="I141" s="18" t="n"/>
      <c r="J141" s="18" t="n"/>
      <c r="K141" s="19" t="n"/>
      <c r="L141" s="19" t="n"/>
      <c r="M141" s="20" t="n"/>
      <c r="N141" s="20" t="n">
        <v>50</v>
      </c>
      <c r="O141" s="20" t="n"/>
      <c r="P141" s="20">
        <f>O141-N141</f>
        <v/>
      </c>
      <c r="Q141" s="20">
        <f>P141*E141</f>
        <v/>
      </c>
      <c r="R141" s="20" t="n"/>
    </row>
    <row r="142" ht="20" customHeight="1" s="1">
      <c r="A142" s="16" t="inlineStr">
        <is>
          <t>10555</t>
        </is>
      </c>
      <c r="B142" s="17" t="inlineStr">
        <is>
          <t>NUR GİDA</t>
        </is>
      </c>
      <c r="C142" s="16" t="inlineStr">
        <is>
          <t>8699444260457</t>
        </is>
      </c>
      <c r="D142" s="17" t="inlineStr">
        <is>
          <t>Lara Make Up Gold 25pcs</t>
        </is>
      </c>
      <c r="E142" s="18" t="n">
        <v>1.5</v>
      </c>
      <c r="F142" s="18" t="n">
        <v>72</v>
      </c>
      <c r="G142" s="18" t="n">
        <v>127</v>
      </c>
      <c r="H142" s="18" t="n"/>
      <c r="I142" s="18" t="n">
        <v>127</v>
      </c>
      <c r="J142" s="18" t="n"/>
      <c r="K142" s="19">
        <f>H142+I142+J142</f>
        <v/>
      </c>
      <c r="L142" s="19">
        <f>K142-G142</f>
        <v/>
      </c>
      <c r="M142" s="20">
        <f>L142*E142</f>
        <v/>
      </c>
      <c r="N142" s="20" t="n">
        <v>50</v>
      </c>
      <c r="O142" s="20" t="n"/>
      <c r="P142" s="20">
        <f>O142-N142</f>
        <v/>
      </c>
      <c r="Q142" s="20">
        <f>P142*E142</f>
        <v/>
      </c>
      <c r="R142" s="20" t="n"/>
    </row>
    <row r="143" ht="20" customHeight="1" s="1">
      <c r="A143" s="21" t="inlineStr">
        <is>
          <t>10302</t>
        </is>
      </c>
      <c r="B143" s="22" t="inlineStr">
        <is>
          <t>NUR GİDA</t>
        </is>
      </c>
      <c r="C143" s="21" t="inlineStr">
        <is>
          <t>8699444260433</t>
        </is>
      </c>
      <c r="D143" s="22" t="inlineStr">
        <is>
          <t>Lara Make Up Purple 25pcs</t>
        </is>
      </c>
      <c r="E143" s="23" t="n">
        <v>1.5</v>
      </c>
      <c r="F143" s="23" t="n">
        <v>72</v>
      </c>
      <c r="G143" s="23" t="n">
        <v>133</v>
      </c>
      <c r="H143" s="23" t="n"/>
      <c r="I143" s="23" t="n">
        <v>133</v>
      </c>
      <c r="J143" s="23" t="n"/>
      <c r="K143" s="19">
        <f>H143+I143+J143</f>
        <v/>
      </c>
      <c r="L143" s="19">
        <f>K143-G143</f>
        <v/>
      </c>
      <c r="M143" s="20">
        <f>L143*E143</f>
        <v/>
      </c>
      <c r="N143" s="20" t="n">
        <v>50</v>
      </c>
      <c r="O143" s="20" t="n"/>
      <c r="P143" s="20">
        <f>O143-N143</f>
        <v/>
      </c>
      <c r="Q143" s="20">
        <f>P143*E143</f>
        <v/>
      </c>
      <c r="R143" s="20" t="n"/>
    </row>
    <row r="144" ht="20" customHeight="1" s="1">
      <c r="A144" s="21" t="inlineStr">
        <is>
          <t>10756</t>
        </is>
      </c>
      <c r="B144" s="22" t="inlineStr">
        <is>
          <t>NUR GİDA</t>
        </is>
      </c>
      <c r="C144" s="21" t="inlineStr">
        <is>
          <t>8699444263403</t>
        </is>
      </c>
      <c r="D144" s="22" t="inlineStr">
        <is>
          <t>Lara Maye Sabun Aloe Vera 500 ml</t>
        </is>
      </c>
      <c r="E144" s="23" t="n">
        <v>2.4</v>
      </c>
      <c r="F144" s="23" t="n">
        <v>12</v>
      </c>
      <c r="G144" s="23" t="n">
        <v>62</v>
      </c>
      <c r="H144" s="23" t="n"/>
      <c r="I144" s="23" t="n">
        <v>62</v>
      </c>
      <c r="J144" s="23" t="n"/>
      <c r="K144" s="19">
        <f>H144+I144+J144</f>
        <v/>
      </c>
      <c r="L144" s="19">
        <f>K144-G144</f>
        <v/>
      </c>
      <c r="M144" s="20">
        <f>L144*E144</f>
        <v/>
      </c>
      <c r="N144" s="20" t="n">
        <v>50</v>
      </c>
      <c r="O144" s="20" t="n"/>
      <c r="P144" s="20">
        <f>O144-N144</f>
        <v/>
      </c>
      <c r="Q144" s="20">
        <f>P144*E144</f>
        <v/>
      </c>
      <c r="R144" s="20" t="n"/>
    </row>
    <row r="145" ht="20" customHeight="1" s="1">
      <c r="A145" s="21" t="inlineStr">
        <is>
          <t>12198</t>
        </is>
      </c>
      <c r="B145" s="22" t="inlineStr">
        <is>
          <t>NUR GİDA</t>
        </is>
      </c>
      <c r="C145" s="21" t="inlineStr">
        <is>
          <t>8699444263441</t>
        </is>
      </c>
      <c r="D145" s="22" t="inlineStr">
        <is>
          <t>Lara Maye Sabun Antibakterial 500 ml</t>
        </is>
      </c>
      <c r="E145" s="23" t="n">
        <v>2.4</v>
      </c>
      <c r="F145" s="23" t="n">
        <v>12</v>
      </c>
      <c r="G145" s="23" t="n">
        <v>0</v>
      </c>
      <c r="H145" s="23" t="n"/>
      <c r="I145" s="23" t="n">
        <v>0</v>
      </c>
      <c r="J145" s="23" t="n"/>
      <c r="K145" s="19">
        <f>H145+I145+J145</f>
        <v/>
      </c>
      <c r="L145" s="19">
        <f>K145-G145</f>
        <v/>
      </c>
      <c r="M145" s="20">
        <f>L145*E145</f>
        <v/>
      </c>
      <c r="N145" s="20" t="n">
        <v>50</v>
      </c>
      <c r="O145" s="20" t="n"/>
      <c r="P145" s="20">
        <f>O145-N145</f>
        <v/>
      </c>
      <c r="Q145" s="20">
        <f>P145*E145</f>
        <v/>
      </c>
      <c r="R145" s="20" t="n"/>
    </row>
    <row r="146" ht="20" customHeight="1" s="1">
      <c r="A146" s="16" t="inlineStr">
        <is>
          <t>10798</t>
        </is>
      </c>
      <c r="B146" s="17" t="inlineStr">
        <is>
          <t>NUR GİDA</t>
        </is>
      </c>
      <c r="C146" s="16" t="inlineStr">
        <is>
          <t>8699444263458</t>
        </is>
      </c>
      <c r="D146" s="17" t="inlineStr">
        <is>
          <t>Lara Maye Sabun Camamile 500 ml</t>
        </is>
      </c>
      <c r="E146" s="18" t="n">
        <v>2.4</v>
      </c>
      <c r="F146" s="18" t="n">
        <v>12</v>
      </c>
      <c r="G146" s="18" t="n">
        <v>95</v>
      </c>
      <c r="H146" s="18" t="n"/>
      <c r="I146" s="18" t="n"/>
      <c r="J146" s="18" t="n"/>
      <c r="K146" s="19" t="n"/>
      <c r="L146" s="19" t="n"/>
      <c r="M146" s="20" t="n"/>
      <c r="N146" s="20" t="n">
        <v>50</v>
      </c>
      <c r="O146" s="20" t="n"/>
      <c r="P146" s="20">
        <f>O146-N146</f>
        <v/>
      </c>
      <c r="Q146" s="20">
        <f>P146*E146</f>
        <v/>
      </c>
      <c r="R146" s="20" t="n"/>
    </row>
    <row r="147" ht="20" customHeight="1" s="1">
      <c r="A147" s="21" t="inlineStr">
        <is>
          <t>10869</t>
        </is>
      </c>
      <c r="B147" s="22" t="inlineStr">
        <is>
          <t>NUR GİDA</t>
        </is>
      </c>
      <c r="C147" s="21" t="inlineStr">
        <is>
          <t>8699444263465</t>
        </is>
      </c>
      <c r="D147" s="22" t="inlineStr">
        <is>
          <t>Lara Maye Sabun Lemon 500 ml</t>
        </is>
      </c>
      <c r="E147" s="23" t="n">
        <v>2.4</v>
      </c>
      <c r="F147" s="23" t="n">
        <v>12</v>
      </c>
      <c r="G147" s="23" t="n">
        <v>82</v>
      </c>
      <c r="H147" s="23" t="n"/>
      <c r="I147" s="23" t="n">
        <v>82</v>
      </c>
      <c r="J147" s="23" t="n"/>
      <c r="K147" s="19">
        <f>H147+I147+J147</f>
        <v/>
      </c>
      <c r="L147" s="19">
        <f>K147-G147</f>
        <v/>
      </c>
      <c r="M147" s="20">
        <f>L147*E147</f>
        <v/>
      </c>
      <c r="N147" s="20" t="n">
        <v>50</v>
      </c>
      <c r="O147" s="20" t="n"/>
      <c r="P147" s="20">
        <f>O147-N147</f>
        <v/>
      </c>
      <c r="Q147" s="20">
        <f>P147*E147</f>
        <v/>
      </c>
      <c r="R147" s="20" t="n"/>
    </row>
    <row r="148" ht="20" customHeight="1" s="1">
      <c r="A148" s="21" t="inlineStr">
        <is>
          <t>10958</t>
        </is>
      </c>
      <c r="B148" s="22" t="inlineStr">
        <is>
          <t>NUR GİDA</t>
        </is>
      </c>
      <c r="C148" s="21" t="inlineStr">
        <is>
          <t>8699444263427</t>
        </is>
      </c>
      <c r="D148" s="22" t="inlineStr">
        <is>
          <t>Lara Maye Sabun Lilak 500 ml</t>
        </is>
      </c>
      <c r="E148" s="23" t="n">
        <v>2.4</v>
      </c>
      <c r="F148" s="23" t="n">
        <v>12</v>
      </c>
      <c r="G148" s="23" t="n">
        <v>52</v>
      </c>
      <c r="H148" s="23" t="n"/>
      <c r="I148" s="23" t="n">
        <v>52</v>
      </c>
      <c r="J148" s="23" t="n"/>
      <c r="K148" s="19">
        <f>H148+I148+J148</f>
        <v/>
      </c>
      <c r="L148" s="19">
        <f>K148-G148</f>
        <v/>
      </c>
      <c r="M148" s="20">
        <f>L148*E148</f>
        <v/>
      </c>
      <c r="N148" s="20" t="n">
        <v>50</v>
      </c>
      <c r="O148" s="20" t="n"/>
      <c r="P148" s="20">
        <f>O148-N148</f>
        <v/>
      </c>
      <c r="Q148" s="20">
        <f>P148*E148</f>
        <v/>
      </c>
      <c r="R148" s="20" t="n"/>
    </row>
    <row r="149" ht="20" customHeight="1" s="1">
      <c r="A149" s="16" t="inlineStr">
        <is>
          <t>10901</t>
        </is>
      </c>
      <c r="B149" s="17" t="inlineStr">
        <is>
          <t>NUR GİDA</t>
        </is>
      </c>
      <c r="C149" s="16" t="inlineStr">
        <is>
          <t>8699444263434</t>
        </is>
      </c>
      <c r="D149" s="17" t="inlineStr">
        <is>
          <t>Lara Maye Sabun Molusturizinq 500 ml</t>
        </is>
      </c>
      <c r="E149" s="18" t="n">
        <v>2.4</v>
      </c>
      <c r="F149" s="18" t="n">
        <v>12</v>
      </c>
      <c r="G149" s="18" t="n">
        <v>48</v>
      </c>
      <c r="H149" s="18" t="n"/>
      <c r="I149" s="18" t="n"/>
      <c r="J149" s="18" t="n"/>
      <c r="K149" s="19" t="n"/>
      <c r="L149" s="19" t="n"/>
      <c r="M149" s="20" t="n"/>
      <c r="N149" s="20" t="n">
        <v>50</v>
      </c>
      <c r="O149" s="20" t="n"/>
      <c r="P149" s="20">
        <f>O149-N149</f>
        <v/>
      </c>
      <c r="Q149" s="20">
        <f>P149*E149</f>
        <v/>
      </c>
      <c r="R149" s="20" t="n"/>
    </row>
    <row r="150" ht="20" customHeight="1" s="1">
      <c r="A150" s="16" t="inlineStr">
        <is>
          <t>10959</t>
        </is>
      </c>
      <c r="B150" s="17" t="inlineStr">
        <is>
          <t>NUR GİDA</t>
        </is>
      </c>
      <c r="C150" s="16" t="inlineStr">
        <is>
          <t>8699444263410</t>
        </is>
      </c>
      <c r="D150" s="17" t="inlineStr">
        <is>
          <t>Lara Maye Sabun Olive oil 500 ml</t>
        </is>
      </c>
      <c r="E150" s="18" t="n">
        <v>2.4</v>
      </c>
      <c r="F150" s="18" t="n">
        <v>12</v>
      </c>
      <c r="G150" s="18" t="n">
        <v>61</v>
      </c>
      <c r="H150" s="18" t="n"/>
      <c r="I150" s="18" t="n">
        <v>61</v>
      </c>
      <c r="J150" s="18" t="n"/>
      <c r="K150" s="19">
        <f>H150+I150+J150</f>
        <v/>
      </c>
      <c r="L150" s="19">
        <f>K150-G150</f>
        <v/>
      </c>
      <c r="M150" s="20">
        <f>L150*E150</f>
        <v/>
      </c>
      <c r="N150" s="20" t="n">
        <v>50</v>
      </c>
      <c r="O150" s="20" t="n"/>
      <c r="P150" s="20">
        <f>O150-N150</f>
        <v/>
      </c>
      <c r="Q150" s="20">
        <f>P150*E150</f>
        <v/>
      </c>
      <c r="R150" s="20" t="n"/>
    </row>
    <row r="151" ht="20" customHeight="1" s="1">
      <c r="A151" s="16" t="inlineStr">
        <is>
          <t>10160</t>
        </is>
      </c>
      <c r="B151" s="17" t="inlineStr">
        <is>
          <t>NUR GİDA</t>
        </is>
      </c>
      <c r="C151" s="16" t="inlineStr">
        <is>
          <t>8699444264257</t>
        </is>
      </c>
      <c r="D151" s="17" t="inlineStr">
        <is>
          <t>Omay Baby Soft 120pcs Classic q-li</t>
        </is>
      </c>
      <c r="E151" s="18" t="n">
        <v>2.5</v>
      </c>
      <c r="F151" s="18" t="n">
        <v>12</v>
      </c>
      <c r="G151" s="18" t="n">
        <v>59</v>
      </c>
      <c r="H151" s="18" t="n"/>
      <c r="I151" s="18" t="n">
        <v>59</v>
      </c>
      <c r="J151" s="18" t="n"/>
      <c r="K151" s="19">
        <f>H151+I151+J151</f>
        <v/>
      </c>
      <c r="L151" s="19">
        <f>K151-G151</f>
        <v/>
      </c>
      <c r="M151" s="20">
        <f>L151*E151</f>
        <v/>
      </c>
      <c r="N151" s="20" t="n">
        <v>50</v>
      </c>
      <c r="O151" s="20" t="n"/>
      <c r="P151" s="20">
        <f>O151-N151</f>
        <v/>
      </c>
      <c r="Q151" s="20">
        <f>P151*E151</f>
        <v/>
      </c>
      <c r="R151" s="20" t="n"/>
    </row>
    <row r="152" ht="20" customHeight="1" s="1">
      <c r="A152" s="16" t="inlineStr">
        <is>
          <t>10158</t>
        </is>
      </c>
      <c r="B152" s="17" t="inlineStr">
        <is>
          <t>NUR GİDA</t>
        </is>
      </c>
      <c r="C152" s="16" t="inlineStr">
        <is>
          <t>8699444262406</t>
        </is>
      </c>
      <c r="D152" s="17" t="inlineStr">
        <is>
          <t>Omay Baby Soft 120pcs Garbera Daiys q-li</t>
        </is>
      </c>
      <c r="E152" s="18" t="n">
        <v>2.5</v>
      </c>
      <c r="F152" s="18" t="n">
        <v>12</v>
      </c>
      <c r="G152" s="18" t="n">
        <v>47</v>
      </c>
      <c r="H152" s="18" t="n"/>
      <c r="I152" s="18" t="n"/>
      <c r="J152" s="18" t="n"/>
      <c r="K152" s="19" t="n"/>
      <c r="L152" s="19" t="n"/>
      <c r="M152" s="20" t="n"/>
      <c r="N152" s="20" t="n">
        <v>50</v>
      </c>
      <c r="O152" s="20" t="n"/>
      <c r="P152" s="20">
        <f>O152-N152</f>
        <v/>
      </c>
      <c r="Q152" s="20">
        <f>P152*E152</f>
        <v/>
      </c>
      <c r="R152" s="20" t="n"/>
    </row>
    <row r="153" ht="20" customHeight="1" s="1">
      <c r="A153" s="21" t="inlineStr">
        <is>
          <t>10195</t>
        </is>
      </c>
      <c r="B153" s="22" t="inlineStr">
        <is>
          <t>NUR GİDA</t>
        </is>
      </c>
      <c r="C153" s="21" t="inlineStr">
        <is>
          <t>8699444264264</t>
        </is>
      </c>
      <c r="D153" s="22" t="inlineStr">
        <is>
          <t>Omay Baby Soft 120pcs Pure q-li</t>
        </is>
      </c>
      <c r="E153" s="23" t="n">
        <v>2.5</v>
      </c>
      <c r="F153" s="23" t="n">
        <v>12</v>
      </c>
      <c r="G153" s="23" t="n">
        <v>86</v>
      </c>
      <c r="H153" s="23" t="n"/>
      <c r="I153" s="23" t="n">
        <v>86</v>
      </c>
      <c r="J153" s="23" t="n"/>
      <c r="K153" s="19">
        <f>H153+I153+J153</f>
        <v/>
      </c>
      <c r="L153" s="19">
        <f>K153-G153</f>
        <v/>
      </c>
      <c r="M153" s="20">
        <f>L153*E153</f>
        <v/>
      </c>
      <c r="N153" s="20" t="n">
        <v>50</v>
      </c>
      <c r="O153" s="20" t="n"/>
      <c r="P153" s="20">
        <f>O153-N153</f>
        <v/>
      </c>
      <c r="Q153" s="20">
        <f>P153*E153</f>
        <v/>
      </c>
      <c r="R153" s="20" t="n"/>
    </row>
    <row r="154" ht="20" customHeight="1" s="1">
      <c r="A154" s="21" t="inlineStr">
        <is>
          <t>10147</t>
        </is>
      </c>
      <c r="B154" s="22" t="inlineStr">
        <is>
          <t>NUR GİDA</t>
        </is>
      </c>
      <c r="C154" s="21" t="inlineStr">
        <is>
          <t>8699444262420</t>
        </is>
      </c>
      <c r="D154" s="22" t="inlineStr">
        <is>
          <t>Omay Baby Soft 120pcs Rosa q-li</t>
        </is>
      </c>
      <c r="E154" s="23" t="n">
        <v>2.5</v>
      </c>
      <c r="F154" s="23" t="n">
        <v>12</v>
      </c>
      <c r="G154" s="23" t="n">
        <v>68</v>
      </c>
      <c r="H154" s="23" t="n"/>
      <c r="I154" s="23" t="n"/>
      <c r="J154" s="23" t="n"/>
      <c r="K154" s="19" t="n"/>
      <c r="L154" s="19" t="n"/>
      <c r="M154" s="20" t="n"/>
      <c r="N154" s="20" t="n">
        <v>50</v>
      </c>
      <c r="O154" s="20" t="n"/>
      <c r="P154" s="20">
        <f>O154-N154</f>
        <v/>
      </c>
      <c r="Q154" s="20">
        <f>P154*E154</f>
        <v/>
      </c>
      <c r="R154" s="20" t="n"/>
    </row>
    <row r="155" ht="20" customHeight="1" s="1">
      <c r="A155" s="21" t="inlineStr">
        <is>
          <t>10163</t>
        </is>
      </c>
      <c r="B155" s="22" t="inlineStr">
        <is>
          <t>NUR GİDA</t>
        </is>
      </c>
      <c r="C155" s="21" t="inlineStr">
        <is>
          <t>8699444264240</t>
        </is>
      </c>
      <c r="D155" s="22" t="inlineStr">
        <is>
          <t>Omay Baby Soft 120pcs Sensitive q-li</t>
        </is>
      </c>
      <c r="E155" s="23" t="n">
        <v>2.5</v>
      </c>
      <c r="F155" s="23" t="n">
        <v>12</v>
      </c>
      <c r="G155" s="23" t="n">
        <v>67</v>
      </c>
      <c r="H155" s="23" t="n">
        <v>3</v>
      </c>
      <c r="I155" s="23" t="n">
        <v>64</v>
      </c>
      <c r="J155" s="23" t="n"/>
      <c r="K155" s="19">
        <f>H155+I155+J155</f>
        <v/>
      </c>
      <c r="L155" s="19">
        <f>K155-G155</f>
        <v/>
      </c>
      <c r="M155" s="20">
        <f>L155*E155</f>
        <v/>
      </c>
      <c r="N155" s="20" t="n">
        <v>50</v>
      </c>
      <c r="O155" s="20" t="n"/>
      <c r="P155" s="20">
        <f>O155-N155</f>
        <v/>
      </c>
      <c r="Q155" s="20">
        <f>P155*E155</f>
        <v/>
      </c>
      <c r="R155" s="20" t="n"/>
    </row>
    <row r="156" ht="20" customHeight="1" s="1">
      <c r="A156" s="21" t="inlineStr">
        <is>
          <t>10156</t>
        </is>
      </c>
      <c r="B156" s="22" t="inlineStr">
        <is>
          <t>NUR GİDA</t>
        </is>
      </c>
      <c r="C156" s="21" t="inlineStr">
        <is>
          <t>8699444262475</t>
        </is>
      </c>
      <c r="D156" s="22" t="inlineStr">
        <is>
          <t>Omay Baby Soft 72pcs Aloe Vera q-li</t>
        </is>
      </c>
      <c r="E156" s="23" t="n">
        <v>1.55</v>
      </c>
      <c r="F156" s="23" t="n">
        <v>24</v>
      </c>
      <c r="G156" s="23" t="n">
        <v>182</v>
      </c>
      <c r="H156" s="23" t="n"/>
      <c r="I156" s="23" t="n">
        <v>182</v>
      </c>
      <c r="J156" s="23" t="n"/>
      <c r="K156" s="19">
        <f>H156+I156+J156</f>
        <v/>
      </c>
      <c r="L156" s="19">
        <f>K156-G156</f>
        <v/>
      </c>
      <c r="M156" s="20">
        <f>L156*E156</f>
        <v/>
      </c>
      <c r="N156" s="20" t="n">
        <v>50</v>
      </c>
      <c r="O156" s="20" t="n"/>
      <c r="P156" s="20">
        <f>O156-N156</f>
        <v/>
      </c>
      <c r="Q156" s="20">
        <f>P156*E156</f>
        <v/>
      </c>
      <c r="R156" s="20" t="n"/>
    </row>
    <row r="157" ht="20" customHeight="1" s="1">
      <c r="A157" s="16" t="inlineStr">
        <is>
          <t>10165</t>
        </is>
      </c>
      <c r="B157" s="17" t="inlineStr">
        <is>
          <t>NUR GİDA</t>
        </is>
      </c>
      <c r="C157" s="16" t="inlineStr">
        <is>
          <t>8699444262482</t>
        </is>
      </c>
      <c r="D157" s="17" t="inlineStr">
        <is>
          <t>Omay Baby Soft 72pcs Chamamil q-li</t>
        </is>
      </c>
      <c r="E157" s="18" t="n">
        <v>1.55</v>
      </c>
      <c r="F157" s="18" t="n">
        <v>24</v>
      </c>
      <c r="G157" s="18" t="n">
        <v>208</v>
      </c>
      <c r="H157" s="18" t="n"/>
      <c r="I157" s="18" t="n">
        <v>208</v>
      </c>
      <c r="J157" s="18" t="n"/>
      <c r="K157" s="19">
        <f>H157+I157+J157</f>
        <v/>
      </c>
      <c r="L157" s="19">
        <f>K157-G157</f>
        <v/>
      </c>
      <c r="M157" s="20">
        <f>L157*E157</f>
        <v/>
      </c>
      <c r="N157" s="20" t="n">
        <v>50</v>
      </c>
      <c r="O157" s="20" t="n"/>
      <c r="P157" s="20">
        <f>O157-N157</f>
        <v/>
      </c>
      <c r="Q157" s="20">
        <f>P157*E157</f>
        <v/>
      </c>
      <c r="R157" s="20" t="n"/>
    </row>
    <row r="158" ht="20" customHeight="1" s="1">
      <c r="A158" s="16" t="inlineStr">
        <is>
          <t>10126</t>
        </is>
      </c>
      <c r="B158" s="17" t="inlineStr">
        <is>
          <t>NUR GİDA</t>
        </is>
      </c>
      <c r="C158" s="16" t="inlineStr">
        <is>
          <t>8699444261126</t>
        </is>
      </c>
      <c r="D158" s="17" t="inlineStr">
        <is>
          <t>Omay Baby Soft 72pcs Vild Rose q-li</t>
        </is>
      </c>
      <c r="E158" s="18" t="n">
        <v>1.55</v>
      </c>
      <c r="F158" s="18" t="n">
        <v>24</v>
      </c>
      <c r="G158" s="18" t="n">
        <v>132</v>
      </c>
      <c r="H158" s="18" t="n"/>
      <c r="I158" s="18" t="n">
        <v>132</v>
      </c>
      <c r="J158" s="18" t="n"/>
      <c r="K158" s="19">
        <f>H158+I158+J158</f>
        <v/>
      </c>
      <c r="L158" s="19">
        <f>K158-G158</f>
        <v/>
      </c>
      <c r="M158" s="20">
        <f>L158*E158</f>
        <v/>
      </c>
      <c r="N158" s="20" t="n">
        <v>50</v>
      </c>
      <c r="O158" s="20" t="n"/>
      <c r="P158" s="20">
        <f>O158-N158</f>
        <v/>
      </c>
      <c r="Q158" s="20">
        <f>P158*E158</f>
        <v/>
      </c>
      <c r="R158" s="20" t="n"/>
    </row>
    <row r="159" ht="20" customHeight="1" s="1">
      <c r="A159" s="21" t="inlineStr">
        <is>
          <t>12257</t>
        </is>
      </c>
      <c r="B159" s="22" t="inlineStr">
        <is>
          <t>NUR GİDA</t>
        </is>
      </c>
      <c r="C159" s="21" t="inlineStr">
        <is>
          <t>8699444262802</t>
        </is>
      </c>
      <c r="D159" s="22" t="inlineStr">
        <is>
          <t>Osv.Top BLITZ  300 ml Lemon Fres</t>
        </is>
      </c>
      <c r="E159" s="23" t="n">
        <v>2</v>
      </c>
      <c r="F159" s="23" t="n">
        <v>48</v>
      </c>
      <c r="G159" s="23" t="n">
        <v>105</v>
      </c>
      <c r="H159" s="23" t="n">
        <v>1</v>
      </c>
      <c r="I159" s="23" t="n">
        <v>104</v>
      </c>
      <c r="J159" s="23" t="n"/>
      <c r="K159" s="19">
        <f>H159+I159+J159</f>
        <v/>
      </c>
      <c r="L159" s="19">
        <f>K159-G159</f>
        <v/>
      </c>
      <c r="M159" s="20">
        <f>L159*E159</f>
        <v/>
      </c>
      <c r="N159" s="20" t="n">
        <v>50</v>
      </c>
      <c r="O159" s="20" t="n"/>
      <c r="P159" s="20">
        <f>O159-N159</f>
        <v/>
      </c>
      <c r="Q159" s="20">
        <f>P159*E159</f>
        <v/>
      </c>
      <c r="R159" s="20" t="n"/>
    </row>
    <row r="160" ht="20" customHeight="1" s="1">
      <c r="A160" s="16" t="inlineStr">
        <is>
          <t>12259</t>
        </is>
      </c>
      <c r="B160" s="17" t="inlineStr">
        <is>
          <t>NUR GİDA</t>
        </is>
      </c>
      <c r="C160" s="16" t="inlineStr">
        <is>
          <t>8699444262789</t>
        </is>
      </c>
      <c r="D160" s="17" t="inlineStr">
        <is>
          <t>Osv.Top BLITZ .300 ml Anti Tabacco</t>
        </is>
      </c>
      <c r="E160" s="18" t="n">
        <v>2</v>
      </c>
      <c r="F160" s="18" t="n">
        <v>48</v>
      </c>
      <c r="G160" s="18" t="n">
        <v>58</v>
      </c>
      <c r="H160" s="18" t="n"/>
      <c r="I160" s="18" t="n"/>
      <c r="J160" s="18" t="n"/>
      <c r="K160" s="19" t="n"/>
      <c r="L160" s="19" t="n"/>
      <c r="M160" s="20" t="n"/>
      <c r="N160" s="20" t="n">
        <v>50</v>
      </c>
      <c r="O160" s="20" t="n"/>
      <c r="P160" s="20">
        <f>O160-N160</f>
        <v/>
      </c>
      <c r="Q160" s="20">
        <f>P160*E160</f>
        <v/>
      </c>
      <c r="R160" s="20" t="n"/>
    </row>
    <row r="161" ht="20" customHeight="1" s="1">
      <c r="A161" s="21" t="inlineStr">
        <is>
          <t>10205</t>
        </is>
      </c>
      <c r="B161" s="22" t="inlineStr">
        <is>
          <t>NUR GİDA</t>
        </is>
      </c>
      <c r="C161" s="21" t="inlineStr">
        <is>
          <t>8699444262819</t>
        </is>
      </c>
      <c r="D161" s="22" t="inlineStr">
        <is>
          <t>Osv.Top BLITZ .300 ml Green Apple</t>
        </is>
      </c>
      <c r="E161" s="23" t="n">
        <v>2</v>
      </c>
      <c r="F161" s="23" t="n">
        <v>48</v>
      </c>
      <c r="G161" s="23" t="n">
        <v>19</v>
      </c>
      <c r="H161" s="23" t="n"/>
      <c r="I161" s="23" t="n"/>
      <c r="J161" s="23" t="n"/>
      <c r="K161" s="19" t="n"/>
      <c r="L161" s="19" t="n"/>
      <c r="M161" s="20" t="n"/>
      <c r="N161" s="20" t="n">
        <v>50</v>
      </c>
      <c r="O161" s="20" t="n"/>
      <c r="P161" s="20">
        <f>O161-N161</f>
        <v/>
      </c>
      <c r="Q161" s="20">
        <f>P161*E161</f>
        <v/>
      </c>
      <c r="R161" s="20" t="n"/>
    </row>
    <row r="162" ht="20" customHeight="1" s="1">
      <c r="A162" s="21" t="inlineStr">
        <is>
          <t>11706</t>
        </is>
      </c>
      <c r="B162" s="22" t="inlineStr">
        <is>
          <t>NUR GİDA</t>
        </is>
      </c>
      <c r="C162" s="21" t="inlineStr">
        <is>
          <t>8699444262796</t>
        </is>
      </c>
      <c r="D162" s="22" t="inlineStr">
        <is>
          <t>Osv.Top BLITZ .300 ml Jasmin</t>
        </is>
      </c>
      <c r="E162" s="23" t="n">
        <v>2</v>
      </c>
      <c r="F162" s="23" t="n">
        <v>48</v>
      </c>
      <c r="G162" s="23" t="n">
        <v>87</v>
      </c>
      <c r="H162" s="23" t="n"/>
      <c r="I162" s="23" t="n"/>
      <c r="J162" s="23" t="n"/>
      <c r="K162" s="19" t="n"/>
      <c r="L162" s="19" t="n"/>
      <c r="M162" s="20" t="n"/>
      <c r="N162" s="20" t="n">
        <v>50</v>
      </c>
      <c r="O162" s="20" t="n"/>
      <c r="P162" s="20">
        <f>O162-N162</f>
        <v/>
      </c>
      <c r="Q162" s="20">
        <f>P162*E162</f>
        <v/>
      </c>
      <c r="R162" s="20" t="n"/>
    </row>
    <row r="163" ht="20" customHeight="1" s="1">
      <c r="A163" s="21" t="inlineStr">
        <is>
          <t>11518</t>
        </is>
      </c>
      <c r="B163" s="22" t="inlineStr">
        <is>
          <t>NUR GİDA</t>
        </is>
      </c>
      <c r="C163" s="21" t="inlineStr">
        <is>
          <t>8699444262741</t>
        </is>
      </c>
      <c r="D163" s="22" t="inlineStr">
        <is>
          <t>Osv.Top BLITZ .300 ml Lilac Fantaziya</t>
        </is>
      </c>
      <c r="E163" s="23" t="n">
        <v>2</v>
      </c>
      <c r="F163" s="23" t="n">
        <v>48</v>
      </c>
      <c r="G163" s="23" t="n">
        <v>138</v>
      </c>
      <c r="H163" s="23" t="n">
        <v>2</v>
      </c>
      <c r="I163" s="23" t="n">
        <v>136</v>
      </c>
      <c r="J163" s="23" t="n"/>
      <c r="K163" s="19">
        <f>H163+I163+J163</f>
        <v/>
      </c>
      <c r="L163" s="19">
        <f>K163-G163</f>
        <v/>
      </c>
      <c r="M163" s="20">
        <f>L163*E163</f>
        <v/>
      </c>
      <c r="N163" s="20" t="n">
        <v>50</v>
      </c>
      <c r="O163" s="20" t="n"/>
      <c r="P163" s="20">
        <f>O163-N163</f>
        <v/>
      </c>
      <c r="Q163" s="20">
        <f>P163*E163</f>
        <v/>
      </c>
      <c r="R163" s="20" t="n"/>
    </row>
    <row r="164" ht="20" customHeight="1" s="1">
      <c r="A164" s="16" t="inlineStr">
        <is>
          <t>12262</t>
        </is>
      </c>
      <c r="B164" s="17" t="inlineStr">
        <is>
          <t>NUR GİDA</t>
        </is>
      </c>
      <c r="C164" s="16" t="inlineStr">
        <is>
          <t>8699444262727</t>
        </is>
      </c>
      <c r="D164" s="17" t="inlineStr">
        <is>
          <t>Osv.Top BLITZ .300 ml Muguet</t>
        </is>
      </c>
      <c r="E164" s="18" t="n">
        <v>2</v>
      </c>
      <c r="F164" s="18" t="n">
        <v>48</v>
      </c>
      <c r="G164" s="18" t="n">
        <v>72</v>
      </c>
      <c r="H164" s="18" t="n">
        <v>1</v>
      </c>
      <c r="I164" s="18" t="n">
        <v>71</v>
      </c>
      <c r="J164" s="18" t="n"/>
      <c r="K164" s="19">
        <f>H164+I164+J164</f>
        <v/>
      </c>
      <c r="L164" s="19">
        <f>K164-G164</f>
        <v/>
      </c>
      <c r="M164" s="20">
        <f>L164*E164</f>
        <v/>
      </c>
      <c r="N164" s="20" t="n">
        <v>50</v>
      </c>
      <c r="O164" s="20" t="n"/>
      <c r="P164" s="20">
        <f>O164-N164</f>
        <v/>
      </c>
      <c r="Q164" s="20">
        <f>P164*E164</f>
        <v/>
      </c>
      <c r="R164" s="20" t="n"/>
    </row>
    <row r="165" ht="20" customHeight="1" s="1">
      <c r="A165" s="16" t="inlineStr">
        <is>
          <t>10097</t>
        </is>
      </c>
      <c r="B165" s="17" t="inlineStr">
        <is>
          <t>NUR GİDA</t>
        </is>
      </c>
      <c r="C165" s="16" t="inlineStr">
        <is>
          <t>8699444262710</t>
        </is>
      </c>
      <c r="D165" s="17" t="inlineStr">
        <is>
          <t>Osv.Top BLITZ .300 ml Okean</t>
        </is>
      </c>
      <c r="E165" s="18" t="n">
        <v>2</v>
      </c>
      <c r="F165" s="18" t="n">
        <v>48</v>
      </c>
      <c r="G165" s="18" t="n">
        <v>111</v>
      </c>
      <c r="H165" s="18" t="n"/>
      <c r="I165" s="18" t="n"/>
      <c r="J165" s="18" t="n"/>
      <c r="K165" s="19" t="n"/>
      <c r="L165" s="19" t="n"/>
      <c r="M165" s="20" t="n"/>
      <c r="N165" s="20" t="n">
        <v>50</v>
      </c>
      <c r="O165" s="20" t="n"/>
      <c r="P165" s="20">
        <f>O165-N165</f>
        <v/>
      </c>
      <c r="Q165" s="20">
        <f>P165*E165</f>
        <v/>
      </c>
      <c r="R165" s="20" t="n"/>
    </row>
    <row r="166" ht="20" customHeight="1" s="1">
      <c r="A166" s="21" t="inlineStr">
        <is>
          <t>10171</t>
        </is>
      </c>
      <c r="B166" s="22" t="inlineStr">
        <is>
          <t>NUR GİDA</t>
        </is>
      </c>
      <c r="C166" s="21" t="inlineStr">
        <is>
          <t>8699444262833</t>
        </is>
      </c>
      <c r="D166" s="22" t="inlineStr">
        <is>
          <t>Osv.Top BLITZ .300 ml Orchid Class</t>
        </is>
      </c>
      <c r="E166" s="23" t="n">
        <v>2</v>
      </c>
      <c r="F166" s="23" t="n">
        <v>48</v>
      </c>
      <c r="G166" s="23" t="n">
        <v>11</v>
      </c>
      <c r="H166" s="23" t="n"/>
      <c r="I166" s="23" t="n">
        <v>11</v>
      </c>
      <c r="J166" s="23" t="n"/>
      <c r="K166" s="19">
        <f>H166+I166+J166</f>
        <v/>
      </c>
      <c r="L166" s="19">
        <f>K166-G166</f>
        <v/>
      </c>
      <c r="M166" s="20">
        <f>L166*E166</f>
        <v/>
      </c>
      <c r="N166" s="20" t="n">
        <v>50</v>
      </c>
      <c r="O166" s="20" t="n"/>
      <c r="P166" s="20">
        <f>O166-N166</f>
        <v/>
      </c>
      <c r="Q166" s="20">
        <f>P166*E166</f>
        <v/>
      </c>
      <c r="R166" s="20" t="n"/>
    </row>
    <row r="167" ht="20" customHeight="1" s="1">
      <c r="A167" s="16" t="inlineStr">
        <is>
          <t>11545</t>
        </is>
      </c>
      <c r="B167" s="17" t="inlineStr">
        <is>
          <t>NUR GİDA</t>
        </is>
      </c>
      <c r="C167" s="16" t="inlineStr">
        <is>
          <t>8699444262765</t>
        </is>
      </c>
      <c r="D167" s="17" t="inlineStr">
        <is>
          <t>Osv.Top BLITZ .300 ml Roza</t>
        </is>
      </c>
      <c r="E167" s="18" t="n">
        <v>2</v>
      </c>
      <c r="F167" s="18" t="n">
        <v>48</v>
      </c>
      <c r="G167" s="18" t="n">
        <v>95</v>
      </c>
      <c r="H167" s="18" t="n"/>
      <c r="I167" s="18" t="n"/>
      <c r="J167" s="18" t="n"/>
      <c r="K167" s="19" t="n"/>
      <c r="L167" s="19" t="n"/>
      <c r="M167" s="20" t="n"/>
      <c r="N167" s="20" t="n">
        <v>50</v>
      </c>
      <c r="O167" s="20" t="n"/>
      <c r="P167" s="20">
        <f>O167-N167</f>
        <v/>
      </c>
      <c r="Q167" s="20">
        <f>P167*E167</f>
        <v/>
      </c>
      <c r="R167" s="20" t="n"/>
    </row>
    <row r="168" ht="20" customHeight="1" s="1">
      <c r="A168" s="16" t="inlineStr">
        <is>
          <t>11599</t>
        </is>
      </c>
      <c r="B168" s="17" t="inlineStr">
        <is>
          <t>NUR GİDA</t>
        </is>
      </c>
      <c r="C168" s="16" t="inlineStr">
        <is>
          <t>8699444262703</t>
        </is>
      </c>
      <c r="D168" s="17" t="inlineStr">
        <is>
          <t>Osv.Top BLITZ .300 ml Spis Mountaun</t>
        </is>
      </c>
      <c r="E168" s="18" t="n">
        <v>2</v>
      </c>
      <c r="F168" s="18" t="n">
        <v>48</v>
      </c>
      <c r="G168" s="18" t="n">
        <v>17</v>
      </c>
      <c r="H168" s="18" t="n"/>
      <c r="I168" s="18" t="n"/>
      <c r="J168" s="18" t="n"/>
      <c r="K168" s="19" t="n"/>
      <c r="L168" s="19" t="n"/>
      <c r="M168" s="20" t="n"/>
      <c r="N168" s="20" t="n">
        <v>50</v>
      </c>
      <c r="O168" s="20" t="n"/>
      <c r="P168" s="20">
        <f>O168-N168</f>
        <v/>
      </c>
      <c r="Q168" s="20">
        <f>P168*E168</f>
        <v/>
      </c>
      <c r="R168" s="20" t="n"/>
    </row>
    <row r="169" ht="20" customHeight="1" s="1">
      <c r="A169" s="21" t="inlineStr">
        <is>
          <t>10238</t>
        </is>
      </c>
      <c r="B169" s="22" t="inlineStr">
        <is>
          <t>NUR GİDA</t>
        </is>
      </c>
      <c r="C169" s="21" t="inlineStr">
        <is>
          <t>8699444262734</t>
        </is>
      </c>
      <c r="D169" s="22" t="inlineStr">
        <is>
          <t>Osv.Top BLITZ .300 ml Sprinq</t>
        </is>
      </c>
      <c r="E169" s="23" t="n">
        <v>2</v>
      </c>
      <c r="F169" s="23" t="n">
        <v>48</v>
      </c>
      <c r="G169" s="23" t="n">
        <v>92</v>
      </c>
      <c r="H169" s="23" t="n"/>
      <c r="I169" s="23" t="n"/>
      <c r="J169" s="23" t="n"/>
      <c r="K169" s="19" t="n"/>
      <c r="L169" s="19" t="n"/>
      <c r="M169" s="20" t="n"/>
      <c r="N169" s="20" t="n">
        <v>50</v>
      </c>
      <c r="O169" s="20" t="n"/>
      <c r="P169" s="20">
        <f>O169-N169</f>
        <v/>
      </c>
      <c r="Q169" s="20">
        <f>P169*E169</f>
        <v/>
      </c>
      <c r="R169" s="20" t="n"/>
    </row>
    <row r="170" ht="20" customHeight="1" s="1">
      <c r="A170" s="16" t="inlineStr">
        <is>
          <t>10167</t>
        </is>
      </c>
      <c r="B170" s="17" t="inlineStr">
        <is>
          <t>NUR GİDA</t>
        </is>
      </c>
      <c r="C170" s="16" t="inlineStr">
        <is>
          <t>8699444262826</t>
        </is>
      </c>
      <c r="D170" s="17" t="inlineStr">
        <is>
          <t>Osv.Top BLITZ .300 ml Waterfal</t>
        </is>
      </c>
      <c r="E170" s="18" t="n">
        <v>2</v>
      </c>
      <c r="F170" s="18" t="n">
        <v>48</v>
      </c>
      <c r="G170" s="18" t="n">
        <v>73</v>
      </c>
      <c r="H170" s="18" t="n">
        <v>1</v>
      </c>
      <c r="I170" s="18" t="n">
        <v>72</v>
      </c>
      <c r="J170" s="18" t="n"/>
      <c r="K170" s="19">
        <f>H170+I170+J170</f>
        <v/>
      </c>
      <c r="L170" s="19">
        <f>K170-G170</f>
        <v/>
      </c>
      <c r="M170" s="20">
        <f>L170*E170</f>
        <v/>
      </c>
      <c r="N170" s="20" t="n">
        <v>50</v>
      </c>
      <c r="O170" s="20" t="n"/>
      <c r="P170" s="20">
        <f>O170-N170</f>
        <v/>
      </c>
      <c r="Q170" s="20">
        <f>P170*E170</f>
        <v/>
      </c>
      <c r="R170" s="20" t="n"/>
    </row>
    <row r="171" ht="20" customHeight="1" s="1">
      <c r="A171" s="21" t="inlineStr">
        <is>
          <t>10098</t>
        </is>
      </c>
      <c r="B171" s="22" t="inlineStr">
        <is>
          <t>NUR GİDA</t>
        </is>
      </c>
      <c r="C171" s="21" t="inlineStr">
        <is>
          <t>8699444262758</t>
        </is>
      </c>
      <c r="D171" s="22" t="inlineStr">
        <is>
          <t>Osv.Top BLITZ .300 ml WHITE ROZE</t>
        </is>
      </c>
      <c r="E171" s="23" t="n">
        <v>2</v>
      </c>
      <c r="F171" s="23" t="n">
        <v>48</v>
      </c>
      <c r="G171" s="23" t="n">
        <v>71</v>
      </c>
      <c r="H171" s="23" t="n"/>
      <c r="I171" s="23" t="n">
        <v>71</v>
      </c>
      <c r="J171" s="23" t="n"/>
      <c r="K171" s="19">
        <f>H171+I171+J171</f>
        <v/>
      </c>
      <c r="L171" s="19">
        <f>K171-G171</f>
        <v/>
      </c>
      <c r="M171" s="20">
        <f>L171*E171</f>
        <v/>
      </c>
      <c r="N171" s="20" t="n">
        <v>50</v>
      </c>
      <c r="O171" s="20" t="n"/>
      <c r="P171" s="20">
        <f>O171-N171</f>
        <v/>
      </c>
      <c r="Q171" s="20">
        <f>P171*E171</f>
        <v/>
      </c>
      <c r="R171" s="20" t="n"/>
    </row>
    <row r="172" ht="20" customHeight="1" s="1">
      <c r="A172" s="21" t="inlineStr">
        <is>
          <t>12288</t>
        </is>
      </c>
      <c r="B172" s="22" t="inlineStr">
        <is>
          <t>NUR GİDA</t>
        </is>
      </c>
      <c r="C172" s="21" t="inlineStr">
        <is>
          <t>8699444264073</t>
        </is>
      </c>
      <c r="D172" s="22" t="inlineStr">
        <is>
          <t>Ozon Aparat ANTI-TABACCO</t>
        </is>
      </c>
      <c r="E172" s="23" t="n">
        <v>3.2</v>
      </c>
      <c r="F172" s="23" t="n">
        <v>24</v>
      </c>
      <c r="G172" s="23" t="n">
        <v>80</v>
      </c>
      <c r="H172" s="23" t="n"/>
      <c r="I172" s="23" t="n">
        <v>80</v>
      </c>
      <c r="J172" s="23" t="n"/>
      <c r="K172" s="19">
        <f>H172+I172+J172</f>
        <v/>
      </c>
      <c r="L172" s="19">
        <f>K172-G172</f>
        <v/>
      </c>
      <c r="M172" s="20">
        <f>L172*E172</f>
        <v/>
      </c>
      <c r="N172" s="20" t="n">
        <v>50</v>
      </c>
      <c r="O172" s="20" t="n"/>
      <c r="P172" s="20">
        <f>O172-N172</f>
        <v/>
      </c>
      <c r="Q172" s="20">
        <f>P172*E172</f>
        <v/>
      </c>
      <c r="R172" s="20" t="n"/>
    </row>
    <row r="173" ht="20" customHeight="1" s="1">
      <c r="A173" s="21" t="inlineStr">
        <is>
          <t>12289</t>
        </is>
      </c>
      <c r="B173" s="22" t="inlineStr">
        <is>
          <t>NUR GİDA</t>
        </is>
      </c>
      <c r="C173" s="21" t="inlineStr">
        <is>
          <t>8699444263977</t>
        </is>
      </c>
      <c r="D173" s="22" t="inlineStr">
        <is>
          <t>Ozon Aparat AQUA BAMBU</t>
        </is>
      </c>
      <c r="E173" s="23" t="n">
        <v>3.2</v>
      </c>
      <c r="F173" s="23" t="n">
        <v>24</v>
      </c>
      <c r="G173" s="23" t="n">
        <v>67</v>
      </c>
      <c r="H173" s="23" t="n"/>
      <c r="I173" s="23" t="n">
        <v>67</v>
      </c>
      <c r="J173" s="23" t="n"/>
      <c r="K173" s="19">
        <f>H173+I173+J173</f>
        <v/>
      </c>
      <c r="L173" s="19">
        <f>K173-G173</f>
        <v/>
      </c>
      <c r="M173" s="20">
        <f>L173*E173</f>
        <v/>
      </c>
      <c r="N173" s="20" t="n">
        <v>50</v>
      </c>
      <c r="O173" s="20" t="n"/>
      <c r="P173" s="20">
        <f>O173-N173</f>
        <v/>
      </c>
      <c r="Q173" s="20">
        <f>P173*E173</f>
        <v/>
      </c>
      <c r="R173" s="20" t="n"/>
    </row>
    <row r="174" ht="20" customHeight="1" s="1">
      <c r="A174" s="16" t="inlineStr">
        <is>
          <t>11707</t>
        </is>
      </c>
      <c r="B174" s="17" t="inlineStr">
        <is>
          <t>NUR GİDA</t>
        </is>
      </c>
      <c r="C174" s="16" t="inlineStr">
        <is>
          <t>8699444264127</t>
        </is>
      </c>
      <c r="D174" s="17" t="inlineStr">
        <is>
          <t>Ozon Aparat AQUA FLOWERS</t>
        </is>
      </c>
      <c r="E174" s="18" t="n">
        <v>3.2</v>
      </c>
      <c r="F174" s="18" t="n">
        <v>24</v>
      </c>
      <c r="G174" s="18" t="n">
        <v>75</v>
      </c>
      <c r="H174" s="18" t="n"/>
      <c r="I174" s="18" t="n">
        <v>75</v>
      </c>
      <c r="J174" s="18" t="n"/>
      <c r="K174" s="19">
        <f>H174+I174+J174</f>
        <v/>
      </c>
      <c r="L174" s="19">
        <f>K174-G174</f>
        <v/>
      </c>
      <c r="M174" s="20">
        <f>L174*E174</f>
        <v/>
      </c>
      <c r="N174" s="20" t="n">
        <v>50</v>
      </c>
      <c r="O174" s="20" t="n"/>
      <c r="P174" s="20">
        <f>O174-N174</f>
        <v/>
      </c>
      <c r="Q174" s="20">
        <f>P174*E174</f>
        <v/>
      </c>
      <c r="R174" s="20" t="n"/>
    </row>
    <row r="175" ht="20" customHeight="1" s="1">
      <c r="A175" s="16" t="inlineStr">
        <is>
          <t>10328</t>
        </is>
      </c>
      <c r="B175" s="17" t="inlineStr">
        <is>
          <t>NUR GİDA</t>
        </is>
      </c>
      <c r="C175" s="16" t="inlineStr">
        <is>
          <t>8699444263960</t>
        </is>
      </c>
      <c r="D175" s="17" t="inlineStr">
        <is>
          <t>Ozon Aparat AQUA ORKIDE</t>
        </is>
      </c>
      <c r="E175" s="18" t="n">
        <v>3.2</v>
      </c>
      <c r="F175" s="18" t="n">
        <v>24</v>
      </c>
      <c r="G175" s="18" t="n">
        <v>13</v>
      </c>
      <c r="H175" s="18" t="n"/>
      <c r="I175" s="18" t="n"/>
      <c r="J175" s="18" t="n"/>
      <c r="K175" s="19" t="n"/>
      <c r="L175" s="19" t="n"/>
      <c r="M175" s="20" t="n"/>
      <c r="N175" s="20" t="n">
        <v>50</v>
      </c>
      <c r="O175" s="20" t="n"/>
      <c r="P175" s="20">
        <f>O175-N175</f>
        <v/>
      </c>
      <c r="Q175" s="20">
        <f>P175*E175</f>
        <v/>
      </c>
      <c r="R175" s="20" t="n"/>
    </row>
    <row r="176" ht="20" customHeight="1" s="1">
      <c r="A176" s="21" t="inlineStr">
        <is>
          <t>11739</t>
        </is>
      </c>
      <c r="B176" s="22" t="inlineStr">
        <is>
          <t>NUR GİDA</t>
        </is>
      </c>
      <c r="C176" s="21" t="inlineStr">
        <is>
          <t>8699444264042</t>
        </is>
      </c>
      <c r="D176" s="22" t="inlineStr">
        <is>
          <t>Ozon Aparat BRAZILIAN LEMON</t>
        </is>
      </c>
      <c r="E176" s="23" t="n">
        <v>3.2</v>
      </c>
      <c r="F176" s="23" t="n">
        <v>24</v>
      </c>
      <c r="G176" s="23" t="n">
        <v>14</v>
      </c>
      <c r="H176" s="23" t="n"/>
      <c r="I176" s="23" t="n">
        <v>14</v>
      </c>
      <c r="J176" s="23" t="n"/>
      <c r="K176" s="19">
        <f>H176+I176+J176</f>
        <v/>
      </c>
      <c r="L176" s="19">
        <f>K176-G176</f>
        <v/>
      </c>
      <c r="M176" s="20">
        <f>L176*E176</f>
        <v/>
      </c>
      <c r="N176" s="20" t="n">
        <v>50</v>
      </c>
      <c r="O176" s="20" t="n"/>
      <c r="P176" s="20">
        <f>O176-N176</f>
        <v/>
      </c>
      <c r="Q176" s="20">
        <f>P176*E176</f>
        <v/>
      </c>
      <c r="R176" s="20" t="n"/>
    </row>
    <row r="177" ht="20" customHeight="1" s="1">
      <c r="A177" s="16" t="inlineStr">
        <is>
          <t>11791</t>
        </is>
      </c>
      <c r="B177" s="17" t="inlineStr">
        <is>
          <t>NUR GİDA</t>
        </is>
      </c>
      <c r="C177" s="16" t="inlineStr">
        <is>
          <t>8699444264011</t>
        </is>
      </c>
      <c r="D177" s="17" t="inlineStr">
        <is>
          <t>Ozon Aparat MONTAIN FRESH</t>
        </is>
      </c>
      <c r="E177" s="18" t="n">
        <v>3.2</v>
      </c>
      <c r="F177" s="18" t="n">
        <v>24</v>
      </c>
      <c r="G177" s="18" t="n">
        <v>81</v>
      </c>
      <c r="H177" s="18" t="n"/>
      <c r="I177" s="18" t="n">
        <v>81</v>
      </c>
      <c r="J177" s="18" t="n"/>
      <c r="K177" s="19">
        <f>H177+I177+J177</f>
        <v/>
      </c>
      <c r="L177" s="19">
        <f>K177-G177</f>
        <v/>
      </c>
      <c r="M177" s="20">
        <f>L177*E177</f>
        <v/>
      </c>
      <c r="N177" s="20" t="n">
        <v>50</v>
      </c>
      <c r="O177" s="20" t="n"/>
      <c r="P177" s="20">
        <f>O177-N177</f>
        <v/>
      </c>
      <c r="Q177" s="20">
        <f>P177*E177</f>
        <v/>
      </c>
      <c r="R177" s="20" t="n"/>
    </row>
    <row r="178" ht="20" customHeight="1" s="1">
      <c r="A178" s="21" t="inlineStr">
        <is>
          <t>10594</t>
        </is>
      </c>
      <c r="B178" s="22" t="inlineStr">
        <is>
          <t>NUR GİDA</t>
        </is>
      </c>
      <c r="C178" s="21" t="inlineStr">
        <is>
          <t>8699444263984</t>
        </is>
      </c>
      <c r="D178" s="22" t="inlineStr">
        <is>
          <t>Ozon Aparat OCEAN</t>
        </is>
      </c>
      <c r="E178" s="23" t="n">
        <v>3.2</v>
      </c>
      <c r="F178" s="23" t="n">
        <v>24</v>
      </c>
      <c r="G178" s="23" t="n">
        <v>51</v>
      </c>
      <c r="H178" s="23" t="n"/>
      <c r="I178" s="23" t="n">
        <v>51</v>
      </c>
      <c r="J178" s="23" t="n"/>
      <c r="K178" s="19">
        <f>H178+I178+J178</f>
        <v/>
      </c>
      <c r="L178" s="19">
        <f>K178-G178</f>
        <v/>
      </c>
      <c r="M178" s="20">
        <f>L178*E178</f>
        <v/>
      </c>
      <c r="N178" s="20" t="n">
        <v>50</v>
      </c>
      <c r="O178" s="20" t="n"/>
      <c r="P178" s="20">
        <f>O178-N178</f>
        <v/>
      </c>
      <c r="Q178" s="20">
        <f>P178*E178</f>
        <v/>
      </c>
      <c r="R178" s="20" t="n"/>
    </row>
    <row r="179" ht="20" customHeight="1" s="1">
      <c r="A179" s="16" t="inlineStr">
        <is>
          <t>10728</t>
        </is>
      </c>
      <c r="B179" s="17" t="inlineStr">
        <is>
          <t>NUR GİDA</t>
        </is>
      </c>
      <c r="C179" s="16" t="inlineStr">
        <is>
          <t>8699444264066</t>
        </is>
      </c>
      <c r="D179" s="17" t="inlineStr">
        <is>
          <t>Ozon Aparat PEACH</t>
        </is>
      </c>
      <c r="E179" s="18" t="n">
        <v>3.2</v>
      </c>
      <c r="F179" s="18" t="n">
        <v>24</v>
      </c>
      <c r="G179" s="18" t="n">
        <v>200</v>
      </c>
      <c r="H179" s="18" t="n"/>
      <c r="I179" s="18" t="n">
        <v>200</v>
      </c>
      <c r="J179" s="18" t="n"/>
      <c r="K179" s="19">
        <f>H179+I179+J179</f>
        <v/>
      </c>
      <c r="L179" s="19">
        <f>K179-G179</f>
        <v/>
      </c>
      <c r="M179" s="20">
        <f>L179*E179</f>
        <v/>
      </c>
      <c r="N179" s="20" t="n">
        <v>50</v>
      </c>
      <c r="O179" s="20" t="n"/>
      <c r="P179" s="20">
        <f>O179-N179</f>
        <v/>
      </c>
      <c r="Q179" s="20">
        <f>P179*E179</f>
        <v/>
      </c>
      <c r="R179" s="20" t="n"/>
    </row>
    <row r="180" ht="20" customHeight="1" s="1">
      <c r="A180" s="16" t="inlineStr">
        <is>
          <t>10241</t>
        </is>
      </c>
      <c r="B180" s="17" t="inlineStr">
        <is>
          <t>NUR GİDA</t>
        </is>
      </c>
      <c r="C180" s="16" t="inlineStr">
        <is>
          <t>8699444264158</t>
        </is>
      </c>
      <c r="D180" s="17" t="inlineStr">
        <is>
          <t>Ozon Aparat ROSE</t>
        </is>
      </c>
      <c r="E180" s="18" t="n">
        <v>3.2</v>
      </c>
      <c r="F180" s="18" t="n">
        <v>24</v>
      </c>
      <c r="G180" s="18" t="n">
        <v>58</v>
      </c>
      <c r="H180" s="18" t="n"/>
      <c r="I180" s="18" t="n">
        <v>58</v>
      </c>
      <c r="J180" s="18" t="n"/>
      <c r="K180" s="19">
        <f>H180+I180+J180</f>
        <v/>
      </c>
      <c r="L180" s="19">
        <f>K180-G180</f>
        <v/>
      </c>
      <c r="M180" s="20">
        <f>L180*E180</f>
        <v/>
      </c>
      <c r="N180" s="20" t="n">
        <v>50</v>
      </c>
      <c r="O180" s="20" t="n"/>
      <c r="P180" s="20">
        <f>O180-N180</f>
        <v/>
      </c>
      <c r="Q180" s="20">
        <f>P180*E180</f>
        <v/>
      </c>
      <c r="R180" s="20" t="n"/>
    </row>
    <row r="181" ht="20" customHeight="1" s="1">
      <c r="A181" s="16" t="inlineStr">
        <is>
          <t>10902</t>
        </is>
      </c>
      <c r="B181" s="17" t="inlineStr">
        <is>
          <t>NUR GİDA</t>
        </is>
      </c>
      <c r="C181" s="16" t="inlineStr">
        <is>
          <t>8699444264004</t>
        </is>
      </c>
      <c r="D181" s="17" t="inlineStr">
        <is>
          <t>Ozon Aparat WHITE FLOWERS</t>
        </is>
      </c>
      <c r="E181" s="18" t="n">
        <v>3.2</v>
      </c>
      <c r="F181" s="18" t="n">
        <v>24</v>
      </c>
      <c r="G181" s="18" t="n">
        <v>7</v>
      </c>
      <c r="H181" s="18" t="n"/>
      <c r="I181" s="18" t="n">
        <v>7</v>
      </c>
      <c r="J181" s="18" t="n"/>
      <c r="K181" s="19">
        <f>H181+I181+J181</f>
        <v/>
      </c>
      <c r="L181" s="19">
        <f>K181-G181</f>
        <v/>
      </c>
      <c r="M181" s="20">
        <f>L181*E181</f>
        <v/>
      </c>
      <c r="N181" s="20" t="n">
        <v>50</v>
      </c>
      <c r="O181" s="20" t="n"/>
      <c r="P181" s="20">
        <f>O181-N181</f>
        <v/>
      </c>
      <c r="Q181" s="20">
        <f>P181*E181</f>
        <v/>
      </c>
      <c r="R181" s="20" t="n"/>
    </row>
    <row r="182" ht="20" customHeight="1" s="1">
      <c r="A182" s="21" t="inlineStr">
        <is>
          <t>12293</t>
        </is>
      </c>
      <c r="B182" s="22" t="inlineStr">
        <is>
          <t>NUR GİDA</t>
        </is>
      </c>
      <c r="C182" s="21" t="inlineStr">
        <is>
          <t>8699444264035</t>
        </is>
      </c>
      <c r="D182" s="22" t="inlineStr">
        <is>
          <t>Ozon Aparat WHITE LILAC</t>
        </is>
      </c>
      <c r="E182" s="23" t="n">
        <v>3.2</v>
      </c>
      <c r="F182" s="23" t="n">
        <v>24</v>
      </c>
      <c r="G182" s="23" t="n">
        <v>40</v>
      </c>
      <c r="H182" s="23" t="n"/>
      <c r="I182" s="23" t="n">
        <v>40</v>
      </c>
      <c r="J182" s="23" t="n"/>
      <c r="K182" s="19">
        <f>H182+I182+J182</f>
        <v/>
      </c>
      <c r="L182" s="19">
        <f>K182-G182</f>
        <v/>
      </c>
      <c r="M182" s="20">
        <f>L182*E182</f>
        <v/>
      </c>
      <c r="N182" s="20" t="n">
        <v>50</v>
      </c>
      <c r="O182" s="20" t="n"/>
      <c r="P182" s="20">
        <f>O182-N182</f>
        <v/>
      </c>
      <c r="Q182" s="20">
        <f>P182*E182</f>
        <v/>
      </c>
      <c r="R182" s="20" t="n"/>
    </row>
    <row r="183" ht="20" customHeight="1" s="1">
      <c r="A183" s="21" t="inlineStr">
        <is>
          <t>11520</t>
        </is>
      </c>
      <c r="B183" s="22" t="inlineStr">
        <is>
          <t>NUR GİDA</t>
        </is>
      </c>
      <c r="C183" s="21" t="inlineStr">
        <is>
          <t>8699444264028</t>
        </is>
      </c>
      <c r="D183" s="22" t="inlineStr">
        <is>
          <t>Ozon Aparat WHITE ROSE</t>
        </is>
      </c>
      <c r="E183" s="23" t="n">
        <v>3.2</v>
      </c>
      <c r="F183" s="23" t="n">
        <v>24</v>
      </c>
      <c r="G183" s="23" t="n">
        <v>24</v>
      </c>
      <c r="H183" s="23" t="n"/>
      <c r="I183" s="23" t="n">
        <v>24</v>
      </c>
      <c r="J183" s="23" t="n"/>
      <c r="K183" s="19">
        <f>H183+I183+J183</f>
        <v/>
      </c>
      <c r="L183" s="19">
        <f>K183-G183</f>
        <v/>
      </c>
      <c r="M183" s="20">
        <f>L183*E183</f>
        <v/>
      </c>
      <c r="N183" s="20" t="n">
        <v>50</v>
      </c>
      <c r="O183" s="20" t="n"/>
      <c r="P183" s="20">
        <f>O183-N183</f>
        <v/>
      </c>
      <c r="Q183" s="20">
        <f>P183*E183</f>
        <v/>
      </c>
      <c r="R183" s="20" t="n"/>
    </row>
    <row r="184" ht="20" customHeight="1" s="1">
      <c r="A184" s="16" t="inlineStr">
        <is>
          <t>19524</t>
        </is>
      </c>
      <c r="B184" s="17" t="inlineStr">
        <is>
          <t>NUR GİDA</t>
        </is>
      </c>
      <c r="C184" s="16" t="n"/>
      <c r="D184" s="17" t="inlineStr">
        <is>
          <t>PC Collection Dezo Evil Women 250 ml</t>
        </is>
      </c>
      <c r="E184" s="18" t="n">
        <v>2.85</v>
      </c>
      <c r="F184" s="18" t="n">
        <v>48</v>
      </c>
      <c r="G184" s="18" t="n">
        <v>0</v>
      </c>
      <c r="H184" s="18" t="n"/>
      <c r="I184" s="18" t="n">
        <v>0</v>
      </c>
      <c r="J184" s="18" t="n"/>
      <c r="K184" s="19">
        <f>H184+I184+J184</f>
        <v/>
      </c>
      <c r="L184" s="19">
        <f>K184-G184</f>
        <v/>
      </c>
      <c r="M184" s="20">
        <f>L184*E184</f>
        <v/>
      </c>
      <c r="N184" s="20" t="n">
        <v>50</v>
      </c>
      <c r="O184" s="20" t="n"/>
      <c r="P184" s="20" t="n"/>
      <c r="Q184" s="20" t="n"/>
      <c r="R184" s="20" t="n"/>
    </row>
    <row r="185" ht="20" customHeight="1" s="1">
      <c r="A185" s="21" t="inlineStr">
        <is>
          <t>19522</t>
        </is>
      </c>
      <c r="B185" s="22" t="inlineStr">
        <is>
          <t>NUR GİDA</t>
        </is>
      </c>
      <c r="C185" s="21" t="n"/>
      <c r="D185" s="22" t="inlineStr">
        <is>
          <t>PC Collection Dezo Femme Women 250 ml</t>
        </is>
      </c>
      <c r="E185" s="23" t="n">
        <v>2.85</v>
      </c>
      <c r="F185" s="23" t="n">
        <v>48</v>
      </c>
      <c r="G185" s="23" t="n">
        <v>0</v>
      </c>
      <c r="H185" s="23" t="n"/>
      <c r="I185" s="23" t="n">
        <v>0</v>
      </c>
      <c r="J185" s="23" t="n"/>
      <c r="K185" s="19">
        <f>H185+I185+J185</f>
        <v/>
      </c>
      <c r="L185" s="19">
        <f>K185-G185</f>
        <v/>
      </c>
      <c r="M185" s="20">
        <f>L185*E185</f>
        <v/>
      </c>
      <c r="N185" s="20" t="n">
        <v>50</v>
      </c>
      <c r="O185" s="20" t="n"/>
      <c r="P185" s="20" t="n"/>
      <c r="Q185" s="20" t="n"/>
      <c r="R185" s="20" t="n"/>
    </row>
    <row r="186" ht="20" customHeight="1" s="1">
      <c r="A186" s="21" t="inlineStr">
        <is>
          <t>16042</t>
        </is>
      </c>
      <c r="B186" s="22" t="inlineStr">
        <is>
          <t>NUR GİDA</t>
        </is>
      </c>
      <c r="C186" s="21" t="inlineStr">
        <is>
          <t>8699444263564</t>
        </is>
      </c>
      <c r="D186" s="22" t="inlineStr">
        <is>
          <t>Pufy Fresh Baby Soft 120pcs Chamomille q-li</t>
        </is>
      </c>
      <c r="E186" s="23" t="n">
        <v>1.9</v>
      </c>
      <c r="F186" s="23" t="n">
        <v>12</v>
      </c>
      <c r="G186" s="23" t="n">
        <v>117</v>
      </c>
      <c r="H186" s="23" t="n"/>
      <c r="I186" s="23" t="n"/>
      <c r="J186" s="23" t="n"/>
      <c r="K186" s="19" t="n"/>
      <c r="L186" s="19" t="n"/>
      <c r="M186" s="20" t="n"/>
      <c r="N186" s="20" t="n">
        <v>50</v>
      </c>
      <c r="O186" s="20" t="n"/>
      <c r="P186" s="20">
        <f>O186-N186</f>
        <v/>
      </c>
      <c r="Q186" s="20">
        <f>P186*E186</f>
        <v/>
      </c>
      <c r="R186" s="20" t="n"/>
    </row>
    <row r="187" ht="20" customHeight="1" s="1">
      <c r="A187" s="16" t="inlineStr">
        <is>
          <t>16040</t>
        </is>
      </c>
      <c r="B187" s="17" t="inlineStr">
        <is>
          <t>NUR GİDA</t>
        </is>
      </c>
      <c r="C187" s="16" t="inlineStr">
        <is>
          <t>8699444263540</t>
        </is>
      </c>
      <c r="D187" s="17" t="inlineStr">
        <is>
          <t>Pufy Fresh Baby Soft 120pcs Garbera Daiys q-li</t>
        </is>
      </c>
      <c r="E187" s="18" t="n">
        <v>1.9</v>
      </c>
      <c r="F187" s="18" t="n">
        <v>12</v>
      </c>
      <c r="G187" s="18" t="n">
        <v>129</v>
      </c>
      <c r="H187" s="18" t="n"/>
      <c r="I187" s="18" t="n">
        <v>129</v>
      </c>
      <c r="J187" s="18" t="n"/>
      <c r="K187" s="19">
        <f>H187+I187+J187</f>
        <v/>
      </c>
      <c r="L187" s="19">
        <f>K187-G187</f>
        <v/>
      </c>
      <c r="M187" s="20">
        <f>L187*E187</f>
        <v/>
      </c>
      <c r="N187" s="20" t="n">
        <v>50</v>
      </c>
      <c r="O187" s="20" t="n"/>
      <c r="P187" s="20">
        <f>O187-N187</f>
        <v/>
      </c>
      <c r="Q187" s="20">
        <f>P187*E187</f>
        <v/>
      </c>
      <c r="R187" s="20" t="n"/>
    </row>
    <row r="188" ht="20" customHeight="1" s="1">
      <c r="A188" s="21" t="inlineStr">
        <is>
          <t>16045</t>
        </is>
      </c>
      <c r="B188" s="22" t="inlineStr">
        <is>
          <t>NUR GİDA</t>
        </is>
      </c>
      <c r="C188" s="21" t="inlineStr">
        <is>
          <t>8699444265087</t>
        </is>
      </c>
      <c r="D188" s="22" t="inlineStr">
        <is>
          <t>Pufy Fresh Baby Soft 72pcs Aloe Vera q-li</t>
        </is>
      </c>
      <c r="E188" s="23" t="n">
        <v>1.25</v>
      </c>
      <c r="F188" s="23" t="n">
        <v>36</v>
      </c>
      <c r="G188" s="23" t="n">
        <v>358</v>
      </c>
      <c r="H188" s="23" t="n"/>
      <c r="I188" s="23" t="n">
        <v>358</v>
      </c>
      <c r="J188" s="23" t="n"/>
      <c r="K188" s="19">
        <f>H188+I188+J188</f>
        <v/>
      </c>
      <c r="L188" s="19">
        <f>K188-G188</f>
        <v/>
      </c>
      <c r="M188" s="20">
        <f>L188*E188</f>
        <v/>
      </c>
      <c r="N188" s="20" t="n">
        <v>50</v>
      </c>
      <c r="O188" s="20" t="n"/>
      <c r="P188" s="20">
        <f>O188-N188</f>
        <v/>
      </c>
      <c r="Q188" s="20">
        <f>P188*E188</f>
        <v/>
      </c>
      <c r="R188" s="20" t="n"/>
    </row>
    <row r="189" ht="20" customHeight="1" s="1">
      <c r="A189" s="16" t="inlineStr">
        <is>
          <t>16043</t>
        </is>
      </c>
      <c r="B189" s="17" t="inlineStr">
        <is>
          <t>NUR GİDA</t>
        </is>
      </c>
      <c r="C189" s="16" t="inlineStr">
        <is>
          <t>8699444265063</t>
        </is>
      </c>
      <c r="D189" s="17" t="inlineStr">
        <is>
          <t>Pufy Fresh Baby Soft 72pcs Garbera Daiys q-li</t>
        </is>
      </c>
      <c r="E189" s="18" t="n">
        <v>1.25</v>
      </c>
      <c r="F189" s="18" t="n">
        <v>36</v>
      </c>
      <c r="G189" s="18" t="n">
        <v>236</v>
      </c>
      <c r="H189" s="18" t="n"/>
      <c r="I189" s="18" t="n">
        <v>236</v>
      </c>
      <c r="J189" s="18" t="n"/>
      <c r="K189" s="19">
        <f>H189+I189+J189</f>
        <v/>
      </c>
      <c r="L189" s="19">
        <f>K189-G189</f>
        <v/>
      </c>
      <c r="M189" s="20">
        <f>L189*E189</f>
        <v/>
      </c>
      <c r="N189" s="20" t="n">
        <v>50</v>
      </c>
      <c r="O189" s="20" t="n"/>
      <c r="P189" s="20">
        <f>O189-N189</f>
        <v/>
      </c>
      <c r="Q189" s="20">
        <f>P189*E189</f>
        <v/>
      </c>
      <c r="R189" s="20" t="n"/>
    </row>
    <row r="190" ht="20" customHeight="1" s="1">
      <c r="A190" s="21" t="inlineStr">
        <is>
          <t>18896</t>
        </is>
      </c>
      <c r="B190" s="22" t="inlineStr">
        <is>
          <t>NUR GİDA</t>
        </is>
      </c>
      <c r="C190" s="21" t="n"/>
      <c r="D190" s="22" t="inlineStr">
        <is>
          <t>React Baby Soft 120pcs Aloe Vera q-li</t>
        </is>
      </c>
      <c r="E190" s="23" t="n">
        <v>15</v>
      </c>
      <c r="F190" s="23" t="n">
        <v>1</v>
      </c>
      <c r="G190" s="23" t="n">
        <v>0</v>
      </c>
      <c r="H190" s="23" t="n"/>
      <c r="I190" s="23" t="n">
        <v>0</v>
      </c>
      <c r="J190" s="23" t="n"/>
      <c r="K190" s="19">
        <f>H190+I190+J190</f>
        <v/>
      </c>
      <c r="L190" s="19">
        <f>K190-G190</f>
        <v/>
      </c>
      <c r="M190" s="20">
        <f>L190*E190</f>
        <v/>
      </c>
      <c r="N190" s="20" t="n">
        <v>50</v>
      </c>
      <c r="O190" s="20" t="n"/>
      <c r="P190" s="20" t="n"/>
      <c r="Q190" s="20" t="n"/>
      <c r="R190" s="20" t="n"/>
    </row>
    <row r="191" ht="20" customHeight="1" s="1">
      <c r="A191" s="16" t="inlineStr">
        <is>
          <t>18897</t>
        </is>
      </c>
      <c r="B191" s="17" t="inlineStr">
        <is>
          <t>NUR GİDA</t>
        </is>
      </c>
      <c r="C191" s="16" t="n"/>
      <c r="D191" s="17" t="inlineStr">
        <is>
          <t>React Baby Soft 120pcs Chamomille q-li</t>
        </is>
      </c>
      <c r="E191" s="18" t="n">
        <v>15</v>
      </c>
      <c r="F191" s="18" t="n">
        <v>1</v>
      </c>
      <c r="G191" s="18" t="n">
        <v>0</v>
      </c>
      <c r="H191" s="18" t="n"/>
      <c r="I191" s="18" t="n">
        <v>0</v>
      </c>
      <c r="J191" s="18" t="n"/>
      <c r="K191" s="19">
        <f>H191+I191+J191</f>
        <v/>
      </c>
      <c r="L191" s="19">
        <f>K191-G191</f>
        <v/>
      </c>
      <c r="M191" s="20">
        <f>L191*E191</f>
        <v/>
      </c>
      <c r="N191" s="20" t="n">
        <v>50</v>
      </c>
      <c r="O191" s="20" t="n"/>
      <c r="P191" s="20" t="n"/>
      <c r="Q191" s="20" t="n"/>
      <c r="R191" s="20" t="n"/>
    </row>
    <row r="192" ht="20" customHeight="1" s="1">
      <c r="A192" s="16" t="inlineStr">
        <is>
          <t>18895</t>
        </is>
      </c>
      <c r="B192" s="17" t="inlineStr">
        <is>
          <t>NUR GİDA</t>
        </is>
      </c>
      <c r="C192" s="16" t="n"/>
      <c r="D192" s="17" t="inlineStr">
        <is>
          <t>React Baby Soft 120pcs Garbera Daiys q-li</t>
        </is>
      </c>
      <c r="E192" s="18" t="n">
        <v>15</v>
      </c>
      <c r="F192" s="18" t="n">
        <v>1</v>
      </c>
      <c r="G192" s="18" t="n">
        <v>0</v>
      </c>
      <c r="H192" s="18" t="n"/>
      <c r="I192" s="18" t="n">
        <v>0</v>
      </c>
      <c r="J192" s="18" t="n"/>
      <c r="K192" s="19">
        <f>H192+I192+J192</f>
        <v/>
      </c>
      <c r="L192" s="19">
        <f>K192-G192</f>
        <v/>
      </c>
      <c r="M192" s="20">
        <f>L192*E192</f>
        <v/>
      </c>
      <c r="N192" s="20" t="n">
        <v>50</v>
      </c>
      <c r="O192" s="20" t="n"/>
      <c r="P192" s="20" t="n"/>
      <c r="Q192" s="20" t="n"/>
      <c r="R192" s="20" t="n"/>
    </row>
    <row r="193" ht="20" customHeight="1" s="1">
      <c r="A193" s="21" t="inlineStr">
        <is>
          <t>10936</t>
        </is>
      </c>
      <c r="B193" s="22" t="inlineStr">
        <is>
          <t>FarmaVita</t>
        </is>
      </c>
      <c r="C193" s="21" t="inlineStr">
        <is>
          <t>8022033007018</t>
        </is>
      </c>
      <c r="D193" s="22" t="inlineStr">
        <is>
          <t>Life color plus 100ml  1.0</t>
        </is>
      </c>
      <c r="E193" s="23" t="n">
        <v>6</v>
      </c>
      <c r="F193" s="23" t="n">
        <v>72</v>
      </c>
      <c r="G193" s="23" t="n">
        <v>178</v>
      </c>
      <c r="H193" s="23" t="n"/>
      <c r="I193" s="23" t="n"/>
      <c r="J193" s="23" t="n"/>
      <c r="K193" s="19" t="n"/>
      <c r="L193" s="19" t="n"/>
      <c r="M193" s="20" t="n"/>
      <c r="N193" s="20" t="n">
        <v>50</v>
      </c>
      <c r="O193" s="20" t="n"/>
      <c r="P193" s="20">
        <f>O193-N193</f>
        <v/>
      </c>
      <c r="Q193" s="20">
        <f>P193*E193</f>
        <v/>
      </c>
      <c r="R193" s="20" t="n"/>
    </row>
    <row r="194" ht="20" customHeight="1" s="1">
      <c r="A194" s="16" t="inlineStr">
        <is>
          <t>10934</t>
        </is>
      </c>
      <c r="B194" s="17" t="inlineStr">
        <is>
          <t>FarmaVita</t>
        </is>
      </c>
      <c r="C194" s="16" t="inlineStr">
        <is>
          <t>8022033007254</t>
        </is>
      </c>
      <c r="D194" s="17" t="inlineStr">
        <is>
          <t>Life color plus 100ml  1.10</t>
        </is>
      </c>
      <c r="E194" s="18" t="n">
        <v>6</v>
      </c>
      <c r="F194" s="18" t="n">
        <v>72</v>
      </c>
      <c r="G194" s="18" t="n">
        <v>65</v>
      </c>
      <c r="H194" s="18" t="n">
        <v>52</v>
      </c>
      <c r="I194" s="18" t="n">
        <v>13</v>
      </c>
      <c r="J194" s="18" t="n"/>
      <c r="K194" s="19">
        <f>H194+I194+J194</f>
        <v/>
      </c>
      <c r="L194" s="19">
        <f>K194-G194</f>
        <v/>
      </c>
      <c r="M194" s="20">
        <f>L194*E194</f>
        <v/>
      </c>
      <c r="N194" s="20" t="n">
        <v>50</v>
      </c>
      <c r="O194" s="20" t="n"/>
      <c r="P194" s="20">
        <f>O194-N194</f>
        <v/>
      </c>
      <c r="Q194" s="20">
        <f>P194*E194</f>
        <v/>
      </c>
      <c r="R194" s="20" t="n"/>
    </row>
    <row r="195" ht="20" customHeight="1" s="1">
      <c r="A195" s="21" t="inlineStr">
        <is>
          <t>10748</t>
        </is>
      </c>
      <c r="B195" s="22" t="inlineStr">
        <is>
          <t>FarmaVita</t>
        </is>
      </c>
      <c r="C195" s="21" t="inlineStr">
        <is>
          <t>8022033007025</t>
        </is>
      </c>
      <c r="D195" s="22" t="inlineStr">
        <is>
          <t>Life color plus 100ml  3.0</t>
        </is>
      </c>
      <c r="E195" s="23" t="n">
        <v>6</v>
      </c>
      <c r="F195" s="23" t="n">
        <v>72</v>
      </c>
      <c r="G195" s="23" t="n">
        <v>160</v>
      </c>
      <c r="H195" s="23" t="n">
        <v>87</v>
      </c>
      <c r="I195" s="23" t="n">
        <v>72</v>
      </c>
      <c r="J195" s="23" t="n">
        <v>1</v>
      </c>
      <c r="K195" s="19">
        <f>H195+I195+J195</f>
        <v/>
      </c>
      <c r="L195" s="19">
        <f>K195-G195</f>
        <v/>
      </c>
      <c r="M195" s="20">
        <f>L195*E195</f>
        <v/>
      </c>
      <c r="N195" s="20" t="n">
        <v>50</v>
      </c>
      <c r="O195" s="20" t="n"/>
      <c r="P195" s="20">
        <f>O195-N195</f>
        <v/>
      </c>
      <c r="Q195" s="20">
        <f>P195*E195</f>
        <v/>
      </c>
      <c r="R195" s="20" t="n"/>
    </row>
    <row r="196" ht="20" customHeight="1" s="1">
      <c r="A196" s="16" t="inlineStr">
        <is>
          <t>10830</t>
        </is>
      </c>
      <c r="B196" s="17" t="inlineStr">
        <is>
          <t>FarmaVita</t>
        </is>
      </c>
      <c r="C196" s="16" t="inlineStr">
        <is>
          <t>8022033007032</t>
        </is>
      </c>
      <c r="D196" s="17" t="inlineStr">
        <is>
          <t>Life color plus 100ml  4.0</t>
        </is>
      </c>
      <c r="E196" s="18" t="n">
        <v>6</v>
      </c>
      <c r="F196" s="18" t="n">
        <v>72</v>
      </c>
      <c r="G196" s="18" t="n">
        <v>179</v>
      </c>
      <c r="H196" s="18" t="n">
        <v>69</v>
      </c>
      <c r="I196" s="18" t="n">
        <v>110</v>
      </c>
      <c r="J196" s="18" t="n"/>
      <c r="K196" s="19">
        <f>H196+I196+J196</f>
        <v/>
      </c>
      <c r="L196" s="19">
        <f>K196-G196</f>
        <v/>
      </c>
      <c r="M196" s="20">
        <f>L196*E196</f>
        <v/>
      </c>
      <c r="N196" s="20" t="n">
        <v>50</v>
      </c>
      <c r="O196" s="20" t="n"/>
      <c r="P196" s="20">
        <f>O196-N196</f>
        <v/>
      </c>
      <c r="Q196" s="20">
        <f>P196*E196</f>
        <v/>
      </c>
      <c r="R196" s="20" t="n"/>
    </row>
    <row r="197" ht="20" customHeight="1" s="1">
      <c r="A197" s="21" t="inlineStr">
        <is>
          <t>11171</t>
        </is>
      </c>
      <c r="B197" s="22" t="inlineStr">
        <is>
          <t>FarmaVita</t>
        </is>
      </c>
      <c r="C197" s="21" t="inlineStr">
        <is>
          <t>8022033007100</t>
        </is>
      </c>
      <c r="D197" s="22" t="inlineStr">
        <is>
          <t>Life color plus 100ml  4.00</t>
        </is>
      </c>
      <c r="E197" s="23" t="n">
        <v>6</v>
      </c>
      <c r="F197" s="23" t="n">
        <v>72</v>
      </c>
      <c r="G197" s="23" t="n">
        <v>123</v>
      </c>
      <c r="H197" s="23" t="n"/>
      <c r="I197" s="23" t="n"/>
      <c r="J197" s="23" t="n"/>
      <c r="K197" s="19" t="n"/>
      <c r="L197" s="19" t="n"/>
      <c r="M197" s="20" t="n"/>
      <c r="N197" s="20" t="n">
        <v>50</v>
      </c>
      <c r="O197" s="20" t="n"/>
      <c r="P197" s="20">
        <f>O197-N197</f>
        <v/>
      </c>
      <c r="Q197" s="20">
        <f>P197*E197</f>
        <v/>
      </c>
      <c r="R197" s="20" t="n"/>
    </row>
    <row r="198" ht="20" customHeight="1" s="1">
      <c r="A198" s="16" t="inlineStr">
        <is>
          <t>11502</t>
        </is>
      </c>
      <c r="B198" s="17" t="inlineStr">
        <is>
          <t>FarmaVita</t>
        </is>
      </c>
      <c r="C198" s="16" t="inlineStr">
        <is>
          <t>8022033007155</t>
        </is>
      </c>
      <c r="D198" s="17" t="inlineStr">
        <is>
          <t>Life color plus 100ml  4.03</t>
        </is>
      </c>
      <c r="E198" s="18" t="n">
        <v>6</v>
      </c>
      <c r="F198" s="18" t="n">
        <v>72</v>
      </c>
      <c r="G198" s="18" t="n">
        <v>64</v>
      </c>
      <c r="H198" s="18" t="n">
        <v>63</v>
      </c>
      <c r="I198" s="18" t="n"/>
      <c r="J198" s="18" t="n">
        <v>1</v>
      </c>
      <c r="K198" s="19">
        <f>H198+I198+J198</f>
        <v/>
      </c>
      <c r="L198" s="19">
        <f>K198-G198</f>
        <v/>
      </c>
      <c r="M198" s="20">
        <f>L198*E198</f>
        <v/>
      </c>
      <c r="N198" s="20" t="n">
        <v>50</v>
      </c>
      <c r="O198" s="20" t="n"/>
      <c r="P198" s="20">
        <f>O198-N198</f>
        <v/>
      </c>
      <c r="Q198" s="20">
        <f>P198*E198</f>
        <v/>
      </c>
      <c r="R198" s="20" t="n"/>
    </row>
    <row r="199" ht="20" customHeight="1" s="1">
      <c r="A199" s="21" t="inlineStr">
        <is>
          <t>10912</t>
        </is>
      </c>
      <c r="B199" s="22" t="inlineStr">
        <is>
          <t>FarmaVita</t>
        </is>
      </c>
      <c r="C199" s="21" t="inlineStr">
        <is>
          <t>8022033007261</t>
        </is>
      </c>
      <c r="D199" s="22" t="inlineStr">
        <is>
          <t>Life color plus 100ml  4.1</t>
        </is>
      </c>
      <c r="E199" s="23" t="n">
        <v>6</v>
      </c>
      <c r="F199" s="23" t="n">
        <v>72</v>
      </c>
      <c r="G199" s="23" t="n">
        <v>99</v>
      </c>
      <c r="H199" s="23" t="n">
        <v>99</v>
      </c>
      <c r="I199" s="23" t="n"/>
      <c r="J199" s="23" t="n"/>
      <c r="K199" s="19">
        <f>H199+I199+J199</f>
        <v/>
      </c>
      <c r="L199" s="19">
        <f>K199-G199</f>
        <v/>
      </c>
      <c r="M199" s="20">
        <f>L199*E199</f>
        <v/>
      </c>
      <c r="N199" s="20" t="n">
        <v>50</v>
      </c>
      <c r="O199" s="20" t="n"/>
      <c r="P199" s="20">
        <f>O199-N199</f>
        <v/>
      </c>
      <c r="Q199" s="20">
        <f>P199*E199</f>
        <v/>
      </c>
      <c r="R199" s="20" t="n"/>
    </row>
    <row r="200" ht="20" customHeight="1" s="1">
      <c r="A200" s="16" t="inlineStr">
        <is>
          <t>11392</t>
        </is>
      </c>
      <c r="B200" s="17" t="inlineStr">
        <is>
          <t>FarmaVita</t>
        </is>
      </c>
      <c r="C200" s="16" t="inlineStr">
        <is>
          <t>8022033007599</t>
        </is>
      </c>
      <c r="D200" s="17" t="inlineStr">
        <is>
          <t>Life color plus 100ml  4.12</t>
        </is>
      </c>
      <c r="E200" s="18" t="n">
        <v>6</v>
      </c>
      <c r="F200" s="18" t="n">
        <v>72</v>
      </c>
      <c r="G200" s="18" t="n">
        <v>21</v>
      </c>
      <c r="H200" s="18" t="n">
        <v>21</v>
      </c>
      <c r="I200" s="18" t="n"/>
      <c r="J200" s="18" t="n"/>
      <c r="K200" s="19">
        <f>H200+I200+J200</f>
        <v/>
      </c>
      <c r="L200" s="19">
        <f>K200-G200</f>
        <v/>
      </c>
      <c r="M200" s="20">
        <f>L200*E200</f>
        <v/>
      </c>
      <c r="N200" s="20" t="n">
        <v>50</v>
      </c>
      <c r="O200" s="20" t="n"/>
      <c r="P200" s="20">
        <f>O200-N200</f>
        <v/>
      </c>
      <c r="Q200" s="20">
        <f>P200*E200</f>
        <v/>
      </c>
      <c r="R200" s="20" t="n"/>
    </row>
    <row r="201" ht="20" customHeight="1" s="1">
      <c r="A201" s="21" t="inlineStr">
        <is>
          <t>10968</t>
        </is>
      </c>
      <c r="B201" s="22" t="inlineStr">
        <is>
          <t>FarmaVita</t>
        </is>
      </c>
      <c r="C201" s="21" t="inlineStr">
        <is>
          <t>8022033007902</t>
        </is>
      </c>
      <c r="D201" s="22" t="inlineStr">
        <is>
          <t>Life color plus 100ml  4.20</t>
        </is>
      </c>
      <c r="E201" s="23" t="n">
        <v>6</v>
      </c>
      <c r="F201" s="23" t="n">
        <v>72</v>
      </c>
      <c r="G201" s="23" t="n">
        <v>17</v>
      </c>
      <c r="H201" s="23" t="n">
        <v>17</v>
      </c>
      <c r="I201" s="23" t="n"/>
      <c r="J201" s="23" t="n"/>
      <c r="K201" s="19">
        <f>H201+I201+J201</f>
        <v/>
      </c>
      <c r="L201" s="19">
        <f>K201-G201</f>
        <v/>
      </c>
      <c r="M201" s="20">
        <f>L201*E201</f>
        <v/>
      </c>
      <c r="N201" s="20" t="n">
        <v>50</v>
      </c>
      <c r="O201" s="20" t="n"/>
      <c r="P201" s="20">
        <f>O201-N201</f>
        <v/>
      </c>
      <c r="Q201" s="20">
        <f>P201*E201</f>
        <v/>
      </c>
      <c r="R201" s="20" t="n"/>
    </row>
    <row r="202" ht="20" customHeight="1" s="1">
      <c r="A202" s="16" t="inlineStr">
        <is>
          <t>11196</t>
        </is>
      </c>
      <c r="B202" s="17" t="inlineStr">
        <is>
          <t>FarmaVita</t>
        </is>
      </c>
      <c r="C202" s="16" t="inlineStr">
        <is>
          <t>8022033007339</t>
        </is>
      </c>
      <c r="D202" s="17" t="inlineStr">
        <is>
          <t>Life color plus 100ml  4.3</t>
        </is>
      </c>
      <c r="E202" s="18" t="n">
        <v>6</v>
      </c>
      <c r="F202" s="18" t="n">
        <v>72</v>
      </c>
      <c r="G202" s="18" t="n">
        <v>37</v>
      </c>
      <c r="H202" s="18" t="n"/>
      <c r="I202" s="18" t="n"/>
      <c r="J202" s="18" t="n"/>
      <c r="K202" s="19" t="n"/>
      <c r="L202" s="19" t="n"/>
      <c r="M202" s="20" t="n"/>
      <c r="N202" s="20" t="n">
        <v>50</v>
      </c>
      <c r="O202" s="20" t="n"/>
      <c r="P202" s="20">
        <f>O202-N202</f>
        <v/>
      </c>
      <c r="Q202" s="20">
        <f>P202*E202</f>
        <v/>
      </c>
      <c r="R202" s="20" t="n"/>
    </row>
    <row r="203" ht="20" customHeight="1" s="1">
      <c r="A203" s="21" t="inlineStr">
        <is>
          <t>11070</t>
        </is>
      </c>
      <c r="B203" s="22" t="inlineStr">
        <is>
          <t>FarmaVita</t>
        </is>
      </c>
      <c r="C203" s="21" t="inlineStr">
        <is>
          <t>8022033007490</t>
        </is>
      </c>
      <c r="D203" s="22" t="inlineStr">
        <is>
          <t>Life color plus 100ml  4.35</t>
        </is>
      </c>
      <c r="E203" s="23" t="n">
        <v>6</v>
      </c>
      <c r="F203" s="23" t="n">
        <v>72</v>
      </c>
      <c r="G203" s="23" t="n">
        <v>47</v>
      </c>
      <c r="H203" s="23" t="n"/>
      <c r="I203" s="23" t="n"/>
      <c r="J203" s="23" t="n"/>
      <c r="K203" s="19" t="n"/>
      <c r="L203" s="19" t="n"/>
      <c r="M203" s="20" t="n"/>
      <c r="N203" s="20" t="n">
        <v>50</v>
      </c>
      <c r="O203" s="20" t="n"/>
      <c r="P203" s="20">
        <f>O203-N203</f>
        <v/>
      </c>
      <c r="Q203" s="20">
        <f>P203*E203</f>
        <v/>
      </c>
      <c r="R203" s="20" t="n"/>
    </row>
    <row r="204" ht="20" customHeight="1" s="1">
      <c r="A204" s="16" t="inlineStr">
        <is>
          <t>11422</t>
        </is>
      </c>
      <c r="B204" s="17" t="inlineStr">
        <is>
          <t>FarmaVita</t>
        </is>
      </c>
      <c r="C204" s="16" t="inlineStr">
        <is>
          <t>8022033007674</t>
        </is>
      </c>
      <c r="D204" s="17" t="inlineStr">
        <is>
          <t>Life color plus 100ml  4.4</t>
        </is>
      </c>
      <c r="E204" s="18" t="n">
        <v>6</v>
      </c>
      <c r="F204" s="18" t="n">
        <v>72</v>
      </c>
      <c r="G204" s="18" t="n">
        <v>17</v>
      </c>
      <c r="H204" s="18" t="n"/>
      <c r="I204" s="18" t="n"/>
      <c r="J204" s="18" t="n"/>
      <c r="K204" s="19" t="n"/>
      <c r="L204" s="19" t="n"/>
      <c r="M204" s="20" t="n"/>
      <c r="N204" s="20" t="n">
        <v>50</v>
      </c>
      <c r="O204" s="20" t="n"/>
      <c r="P204" s="20">
        <f>O204-N204</f>
        <v/>
      </c>
      <c r="Q204" s="20">
        <f>P204*E204</f>
        <v/>
      </c>
      <c r="R204" s="20" t="n"/>
    </row>
    <row r="205" ht="20" customHeight="1" s="1">
      <c r="A205" s="21" t="inlineStr">
        <is>
          <t>11283</t>
        </is>
      </c>
      <c r="B205" s="22" t="inlineStr">
        <is>
          <t>FarmaVita</t>
        </is>
      </c>
      <c r="C205" s="21" t="inlineStr">
        <is>
          <t>8022033007643</t>
        </is>
      </c>
      <c r="D205" s="22" t="inlineStr">
        <is>
          <t>Life color plus 100ml  4.5</t>
        </is>
      </c>
      <c r="E205" s="23" t="n">
        <v>6</v>
      </c>
      <c r="F205" s="23" t="n">
        <v>72</v>
      </c>
      <c r="G205" s="23" t="n">
        <v>6</v>
      </c>
      <c r="H205" s="23" t="n">
        <v>6</v>
      </c>
      <c r="I205" s="23" t="n"/>
      <c r="J205" s="23" t="n"/>
      <c r="K205" s="19">
        <f>H205+I205+J205</f>
        <v/>
      </c>
      <c r="L205" s="19">
        <f>K205-G205</f>
        <v/>
      </c>
      <c r="M205" s="20">
        <f>L205*E205</f>
        <v/>
      </c>
      <c r="N205" s="20" t="n">
        <v>50</v>
      </c>
      <c r="O205" s="20" t="n"/>
      <c r="P205" s="20">
        <f>O205-N205</f>
        <v/>
      </c>
      <c r="Q205" s="20">
        <f>P205*E205</f>
        <v/>
      </c>
      <c r="R205" s="20" t="n"/>
    </row>
    <row r="206" ht="20" customHeight="1" s="1">
      <c r="A206" s="16" t="inlineStr">
        <is>
          <t>11247</t>
        </is>
      </c>
      <c r="B206" s="17" t="inlineStr">
        <is>
          <t>FarmaVita</t>
        </is>
      </c>
      <c r="C206" s="16" t="inlineStr">
        <is>
          <t>8022033007520</t>
        </is>
      </c>
      <c r="D206" s="17" t="inlineStr">
        <is>
          <t>Life color plus 100ml  4.52</t>
        </is>
      </c>
      <c r="E206" s="18" t="n">
        <v>6</v>
      </c>
      <c r="F206" s="18" t="n">
        <v>72</v>
      </c>
      <c r="G206" s="18" t="n">
        <v>59</v>
      </c>
      <c r="H206" s="18" t="n"/>
      <c r="I206" s="18" t="n"/>
      <c r="J206" s="18" t="n"/>
      <c r="K206" s="19" t="n"/>
      <c r="L206" s="19" t="n"/>
      <c r="M206" s="20" t="n"/>
      <c r="N206" s="20" t="n">
        <v>50</v>
      </c>
      <c r="O206" s="20" t="n"/>
      <c r="P206" s="20">
        <f>O206-N206</f>
        <v/>
      </c>
      <c r="Q206" s="20">
        <f>P206*E206</f>
        <v/>
      </c>
      <c r="R206" s="20" t="n"/>
    </row>
    <row r="207" ht="20" customHeight="1" s="1">
      <c r="A207" s="21" t="inlineStr">
        <is>
          <t>11503</t>
        </is>
      </c>
      <c r="B207" s="22" t="inlineStr">
        <is>
          <t>FarmaVita</t>
        </is>
      </c>
      <c r="C207" s="21" t="inlineStr">
        <is>
          <t>8022033008046</t>
        </is>
      </c>
      <c r="D207" s="22" t="inlineStr">
        <is>
          <t>Life color plus 100ml  4.88 (4.77)</t>
        </is>
      </c>
      <c r="E207" s="23" t="n">
        <v>6</v>
      </c>
      <c r="F207" s="23" t="n">
        <v>72</v>
      </c>
      <c r="G207" s="23" t="n">
        <v>54</v>
      </c>
      <c r="H207" s="23" t="n">
        <v>54</v>
      </c>
      <c r="I207" s="23" t="n"/>
      <c r="J207" s="23" t="n"/>
      <c r="K207" s="19">
        <f>H207+I207+J207</f>
        <v/>
      </c>
      <c r="L207" s="19">
        <f>K207-G207</f>
        <v/>
      </c>
      <c r="M207" s="20">
        <f>L207*E207</f>
        <v/>
      </c>
      <c r="N207" s="20" t="n">
        <v>50</v>
      </c>
      <c r="O207" s="20" t="n"/>
      <c r="P207" s="20">
        <f>O207-N207</f>
        <v/>
      </c>
      <c r="Q207" s="20">
        <f>P207*E207</f>
        <v/>
      </c>
      <c r="R207" s="20" t="n"/>
    </row>
    <row r="208" ht="20" customHeight="1" s="1">
      <c r="A208" s="21" t="inlineStr">
        <is>
          <t>11389</t>
        </is>
      </c>
      <c r="B208" s="22" t="inlineStr">
        <is>
          <t>FarmaVita</t>
        </is>
      </c>
      <c r="C208" s="21" t="inlineStr">
        <is>
          <t>8022033007209</t>
        </is>
      </c>
      <c r="D208" s="22" t="inlineStr">
        <is>
          <t>Life color plus 100ml  5.07</t>
        </is>
      </c>
      <c r="E208" s="23" t="n">
        <v>6</v>
      </c>
      <c r="F208" s="23" t="n">
        <v>72</v>
      </c>
      <c r="G208" s="23" t="n">
        <v>59</v>
      </c>
      <c r="H208" s="23" t="n">
        <v>59</v>
      </c>
      <c r="I208" s="23" t="n"/>
      <c r="J208" s="23" t="n"/>
      <c r="K208" s="19">
        <f>H208+I208+J208</f>
        <v/>
      </c>
      <c r="L208" s="19">
        <f>K208-G208</f>
        <v/>
      </c>
      <c r="M208" s="20">
        <f>L208*E208</f>
        <v/>
      </c>
      <c r="N208" s="20" t="n">
        <v>50</v>
      </c>
      <c r="O208" s="20" t="n"/>
      <c r="P208" s="20">
        <f>O208-N208</f>
        <v/>
      </c>
      <c r="Q208" s="20">
        <f>P208*E208</f>
        <v/>
      </c>
      <c r="R208" s="20" t="n"/>
    </row>
    <row r="209" ht="20" customHeight="1" s="1">
      <c r="A209" s="16" t="inlineStr">
        <is>
          <t>10926</t>
        </is>
      </c>
      <c r="B209" s="17" t="inlineStr">
        <is>
          <t>FarmaVita</t>
        </is>
      </c>
      <c r="C209" s="16" t="inlineStr">
        <is>
          <t>8022033007162</t>
        </is>
      </c>
      <c r="D209" s="17" t="inlineStr">
        <is>
          <t>Life color plus 100ml  5.03</t>
        </is>
      </c>
      <c r="E209" s="18" t="n">
        <v>6</v>
      </c>
      <c r="F209" s="18" t="n">
        <v>72</v>
      </c>
      <c r="G209" s="18" t="n">
        <v>53</v>
      </c>
      <c r="H209" s="18" t="n">
        <v>52</v>
      </c>
      <c r="I209" s="18" t="n">
        <v>1</v>
      </c>
      <c r="J209" s="18" t="n"/>
      <c r="K209" s="19">
        <f>H209+I209+J209</f>
        <v/>
      </c>
      <c r="L209" s="19">
        <f>K209-G209</f>
        <v/>
      </c>
      <c r="M209" s="20">
        <f>L209*E209</f>
        <v/>
      </c>
      <c r="N209" s="20" t="n">
        <v>50</v>
      </c>
      <c r="O209" s="20" t="n"/>
      <c r="P209" s="20">
        <f>O209-N209</f>
        <v/>
      </c>
      <c r="Q209" s="20">
        <f>P209*E209</f>
        <v/>
      </c>
      <c r="R209" s="20" t="n"/>
    </row>
    <row r="210" ht="20" customHeight="1" s="1">
      <c r="A210" s="21" t="inlineStr">
        <is>
          <t>10847</t>
        </is>
      </c>
      <c r="B210" s="22" t="inlineStr">
        <is>
          <t>FarmaVita</t>
        </is>
      </c>
      <c r="C210" s="21" t="inlineStr">
        <is>
          <t>8022033007117</t>
        </is>
      </c>
      <c r="D210" s="22" t="inlineStr">
        <is>
          <t>Life color plus 100ml  5.00</t>
        </is>
      </c>
      <c r="E210" s="23" t="n">
        <v>6</v>
      </c>
      <c r="F210" s="23" t="n">
        <v>72</v>
      </c>
      <c r="G210" s="23" t="n">
        <v>110</v>
      </c>
      <c r="H210" s="23" t="n">
        <v>36</v>
      </c>
      <c r="I210" s="23" t="n">
        <v>72</v>
      </c>
      <c r="J210" s="23" t="n">
        <v>2</v>
      </c>
      <c r="K210" s="19">
        <f>H210+I210+J210</f>
        <v/>
      </c>
      <c r="L210" s="19">
        <f>K210-G210</f>
        <v/>
      </c>
      <c r="M210" s="20">
        <f>L210*E210</f>
        <v/>
      </c>
      <c r="N210" s="20" t="n">
        <v>50</v>
      </c>
      <c r="O210" s="20" t="n"/>
      <c r="P210" s="20">
        <f>O210-N210</f>
        <v/>
      </c>
      <c r="Q210" s="20">
        <f>P210*E210</f>
        <v/>
      </c>
      <c r="R210" s="20" t="n"/>
    </row>
    <row r="211" ht="20" customHeight="1" s="1">
      <c r="A211" s="16" t="inlineStr">
        <is>
          <t>10740</t>
        </is>
      </c>
      <c r="B211" s="17" t="inlineStr">
        <is>
          <t>FarmaVita</t>
        </is>
      </c>
      <c r="C211" s="16" t="inlineStr">
        <is>
          <t>8022033007049</t>
        </is>
      </c>
      <c r="D211" s="17" t="inlineStr">
        <is>
          <t>Life color plus 100ml  5.0</t>
        </is>
      </c>
      <c r="E211" s="18" t="n">
        <v>6</v>
      </c>
      <c r="F211" s="18" t="n">
        <v>72</v>
      </c>
      <c r="G211" s="18" t="n">
        <v>218</v>
      </c>
      <c r="H211" s="18" t="n">
        <v>36</v>
      </c>
      <c r="I211" s="18" t="n">
        <v>182</v>
      </c>
      <c r="J211" s="18" t="n"/>
      <c r="K211" s="19">
        <f>H211+I211+J211</f>
        <v/>
      </c>
      <c r="L211" s="19">
        <f>K211-G211</f>
        <v/>
      </c>
      <c r="M211" s="20">
        <f>L211*E211</f>
        <v/>
      </c>
      <c r="N211" s="20" t="n">
        <v>50</v>
      </c>
      <c r="O211" s="20" t="n"/>
      <c r="P211" s="20">
        <f>O211-N211</f>
        <v/>
      </c>
      <c r="Q211" s="20">
        <f>P211*E211</f>
        <v/>
      </c>
      <c r="R211" s="20" t="n"/>
    </row>
    <row r="212" ht="20" customHeight="1" s="1">
      <c r="A212" s="16" t="inlineStr">
        <is>
          <t>10856</t>
        </is>
      </c>
      <c r="B212" s="17" t="inlineStr">
        <is>
          <t>FarmaVita</t>
        </is>
      </c>
      <c r="C212" s="16" t="inlineStr">
        <is>
          <t>8022033007278</t>
        </is>
      </c>
      <c r="D212" s="17" t="inlineStr">
        <is>
          <t>Life color plus 100ml  5.1</t>
        </is>
      </c>
      <c r="E212" s="18" t="n">
        <v>6</v>
      </c>
      <c r="F212" s="18" t="n">
        <v>72</v>
      </c>
      <c r="G212" s="18" t="n">
        <v>156</v>
      </c>
      <c r="H212" s="18" t="n"/>
      <c r="I212" s="18" t="n"/>
      <c r="J212" s="18" t="n"/>
      <c r="K212" s="19" t="n"/>
      <c r="L212" s="19" t="n"/>
      <c r="M212" s="20" t="n"/>
      <c r="N212" s="20" t="n">
        <v>50</v>
      </c>
      <c r="O212" s="20" t="n">
        <v>40</v>
      </c>
      <c r="P212" s="20">
        <f>O212-N212</f>
        <v/>
      </c>
      <c r="Q212" s="20">
        <f>P212*E212</f>
        <v/>
      </c>
      <c r="R212" s="20" t="inlineStr">
        <is>
          <t>Mərkəz</t>
        </is>
      </c>
    </row>
    <row r="213" ht="20" customHeight="1" s="1">
      <c r="A213" s="21" t="inlineStr">
        <is>
          <t>11396</t>
        </is>
      </c>
      <c r="B213" s="22" t="inlineStr">
        <is>
          <t>FarmaVita</t>
        </is>
      </c>
      <c r="C213" s="21" t="inlineStr">
        <is>
          <t>8022033007605</t>
        </is>
      </c>
      <c r="D213" s="22" t="inlineStr">
        <is>
          <t>Life color plus 100ml  5.12</t>
        </is>
      </c>
      <c r="E213" s="23" t="n">
        <v>6</v>
      </c>
      <c r="F213" s="23" t="n">
        <v>72</v>
      </c>
      <c r="G213" s="23" t="n">
        <v>41</v>
      </c>
      <c r="H213" s="23" t="n"/>
      <c r="I213" s="23" t="n"/>
      <c r="J213" s="23" t="n"/>
      <c r="K213" s="19" t="n"/>
      <c r="L213" s="19" t="n"/>
      <c r="M213" s="20" t="n"/>
      <c r="N213" s="20" t="n">
        <v>50</v>
      </c>
      <c r="O213" s="20" t="n"/>
      <c r="P213" s="20">
        <f>O213-N213</f>
        <v/>
      </c>
      <c r="Q213" s="20">
        <f>P213*E213</f>
        <v/>
      </c>
      <c r="R213" s="20" t="n"/>
    </row>
    <row r="214" ht="20" customHeight="1" s="1">
      <c r="A214" s="16" t="inlineStr">
        <is>
          <t>10937</t>
        </is>
      </c>
      <c r="B214" s="17" t="inlineStr">
        <is>
          <t>FarmaVita</t>
        </is>
      </c>
      <c r="C214" s="16" t="inlineStr">
        <is>
          <t>8022033007919</t>
        </is>
      </c>
      <c r="D214" s="17" t="inlineStr">
        <is>
          <t>Life color plus 100ml  5.20</t>
        </is>
      </c>
      <c r="E214" s="18" t="n">
        <v>6</v>
      </c>
      <c r="F214" s="18" t="n">
        <v>72</v>
      </c>
      <c r="G214" s="18" t="n">
        <v>1</v>
      </c>
      <c r="H214" s="18" t="n">
        <v>1</v>
      </c>
      <c r="I214" s="18" t="n"/>
      <c r="J214" s="18" t="n"/>
      <c r="K214" s="19">
        <f>H214+I214+J214</f>
        <v/>
      </c>
      <c r="L214" s="19">
        <f>K214-G214</f>
        <v/>
      </c>
      <c r="M214" s="20">
        <f>L214*E214</f>
        <v/>
      </c>
      <c r="N214" s="20" t="n">
        <v>50</v>
      </c>
      <c r="O214" s="20" t="n"/>
      <c r="P214" s="20">
        <f>O214-N214</f>
        <v/>
      </c>
      <c r="Q214" s="20">
        <f>P214*E214</f>
        <v/>
      </c>
      <c r="R214" s="20" t="n"/>
    </row>
    <row r="215" ht="20" customHeight="1" s="1">
      <c r="A215" s="21" t="inlineStr">
        <is>
          <t>11144</t>
        </is>
      </c>
      <c r="B215" s="22" t="inlineStr">
        <is>
          <t>FarmaVita</t>
        </is>
      </c>
      <c r="C215" s="21" t="inlineStr">
        <is>
          <t>8022033007346</t>
        </is>
      </c>
      <c r="D215" s="22" t="inlineStr">
        <is>
          <t>Life color plus 100ml  5.3</t>
        </is>
      </c>
      <c r="E215" s="23" t="n">
        <v>6</v>
      </c>
      <c r="F215" s="23" t="n">
        <v>72</v>
      </c>
      <c r="G215" s="23" t="n">
        <v>43</v>
      </c>
      <c r="H215" s="23" t="n">
        <v>43</v>
      </c>
      <c r="I215" s="23" t="n"/>
      <c r="J215" s="23" t="n"/>
      <c r="K215" s="19">
        <f>H215+I215+J215</f>
        <v/>
      </c>
      <c r="L215" s="19">
        <f>K215-G215</f>
        <v/>
      </c>
      <c r="M215" s="20">
        <f>L215*E215</f>
        <v/>
      </c>
      <c r="N215" s="20" t="n">
        <v>50</v>
      </c>
      <c r="O215" s="20" t="n"/>
      <c r="P215" s="20">
        <f>O215-N215</f>
        <v/>
      </c>
      <c r="Q215" s="20">
        <f>P215*E215</f>
        <v/>
      </c>
      <c r="R215" s="20" t="n"/>
    </row>
    <row r="216" ht="20" customHeight="1" s="1">
      <c r="A216" s="16" t="inlineStr">
        <is>
          <t>11449</t>
        </is>
      </c>
      <c r="B216" s="17" t="inlineStr">
        <is>
          <t>FarmaVita</t>
        </is>
      </c>
      <c r="C216" s="16" t="inlineStr">
        <is>
          <t>8022033007445</t>
        </is>
      </c>
      <c r="D216" s="17" t="inlineStr">
        <is>
          <t>Life color plus 100ml  5.31</t>
        </is>
      </c>
      <c r="E216" s="18" t="n">
        <v>6</v>
      </c>
      <c r="F216" s="18" t="n">
        <v>72</v>
      </c>
      <c r="G216" s="18" t="n">
        <v>4</v>
      </c>
      <c r="H216" s="18" t="n"/>
      <c r="I216" s="18" t="n"/>
      <c r="J216" s="18" t="n"/>
      <c r="K216" s="19" t="n"/>
      <c r="L216" s="19" t="n"/>
      <c r="M216" s="20" t="n"/>
      <c r="N216" s="20" t="n">
        <v>50</v>
      </c>
      <c r="O216" s="20" t="n"/>
      <c r="P216" s="20">
        <f>O216-N216</f>
        <v/>
      </c>
      <c r="Q216" s="20">
        <f>P216*E216</f>
        <v/>
      </c>
      <c r="R216" s="20" t="n"/>
    </row>
    <row r="217" ht="20" customHeight="1" s="1">
      <c r="A217" s="21" t="inlineStr">
        <is>
          <t>11375</t>
        </is>
      </c>
      <c r="B217" s="22" t="inlineStr">
        <is>
          <t>FarmaVita</t>
        </is>
      </c>
      <c r="C217" s="21" t="inlineStr">
        <is>
          <t>8022033007506</t>
        </is>
      </c>
      <c r="D217" s="22" t="inlineStr">
        <is>
          <t>Life color plus 100ml  5.35</t>
        </is>
      </c>
      <c r="E217" s="23" t="n">
        <v>6</v>
      </c>
      <c r="F217" s="23" t="n">
        <v>72</v>
      </c>
      <c r="G217" s="23" t="n">
        <v>44</v>
      </c>
      <c r="H217" s="23" t="n"/>
      <c r="I217" s="23" t="n"/>
      <c r="J217" s="23" t="n"/>
      <c r="K217" s="19" t="n"/>
      <c r="L217" s="19" t="n"/>
      <c r="M217" s="20" t="n"/>
      <c r="N217" s="20" t="n">
        <v>50</v>
      </c>
      <c r="O217" s="20" t="n"/>
      <c r="P217" s="20">
        <f>O217-N217</f>
        <v/>
      </c>
      <c r="Q217" s="20">
        <f>P217*E217</f>
        <v/>
      </c>
      <c r="R217" s="20" t="n"/>
    </row>
    <row r="218" ht="20" customHeight="1" s="1">
      <c r="A218" s="16" t="inlineStr">
        <is>
          <t>11213</t>
        </is>
      </c>
      <c r="B218" s="17" t="inlineStr">
        <is>
          <t>FarmaVita</t>
        </is>
      </c>
      <c r="C218" s="16" t="inlineStr">
        <is>
          <t>8022033007681</t>
        </is>
      </c>
      <c r="D218" s="17" t="inlineStr">
        <is>
          <t>Life color plus 100ml  5.4</t>
        </is>
      </c>
      <c r="E218" s="18" t="n">
        <v>6</v>
      </c>
      <c r="F218" s="18" t="n">
        <v>72</v>
      </c>
      <c r="G218" s="18" t="n">
        <v>0</v>
      </c>
      <c r="H218" s="18" t="n"/>
      <c r="I218" s="18" t="n"/>
      <c r="J218" s="18" t="n"/>
      <c r="K218" s="19">
        <f>H218+I218+J218</f>
        <v/>
      </c>
      <c r="L218" s="19">
        <f>K218-G218</f>
        <v/>
      </c>
      <c r="M218" s="20">
        <f>L218*E218</f>
        <v/>
      </c>
      <c r="N218" s="20" t="n">
        <v>50</v>
      </c>
      <c r="O218" s="20" t="n"/>
      <c r="P218" s="20">
        <f>O218-N218</f>
        <v/>
      </c>
      <c r="Q218" s="20">
        <f>P218*E218</f>
        <v/>
      </c>
      <c r="R218" s="20" t="n"/>
    </row>
    <row r="219" ht="20" customHeight="1" s="1">
      <c r="A219" s="21" t="inlineStr">
        <is>
          <t>10637</t>
        </is>
      </c>
      <c r="B219" s="22" t="inlineStr">
        <is>
          <t>FarmaVita</t>
        </is>
      </c>
      <c r="C219" s="21" t="inlineStr">
        <is>
          <t>8022033007735</t>
        </is>
      </c>
      <c r="D219" s="22" t="inlineStr">
        <is>
          <t>Life color plus 100ml  5.43</t>
        </is>
      </c>
      <c r="E219" s="23" t="n">
        <v>6</v>
      </c>
      <c r="F219" s="23" t="n">
        <v>72</v>
      </c>
      <c r="G219" s="23" t="n">
        <v>8</v>
      </c>
      <c r="H219" s="23" t="n"/>
      <c r="I219" s="23" t="n"/>
      <c r="J219" s="23" t="n"/>
      <c r="K219" s="19" t="n"/>
      <c r="L219" s="19" t="n"/>
      <c r="M219" s="20" t="n"/>
      <c r="N219" s="20" t="n">
        <v>50</v>
      </c>
      <c r="O219" s="20" t="n"/>
      <c r="P219" s="20">
        <f>O219-N219</f>
        <v/>
      </c>
      <c r="Q219" s="20">
        <f>P219*E219</f>
        <v/>
      </c>
      <c r="R219" s="20" t="n"/>
    </row>
    <row r="220" ht="20" customHeight="1" s="1">
      <c r="A220" s="16" t="inlineStr">
        <is>
          <t>10603</t>
        </is>
      </c>
      <c r="B220" s="17" t="inlineStr">
        <is>
          <t>FarmaVita</t>
        </is>
      </c>
      <c r="C220" s="16" t="inlineStr">
        <is>
          <t>8022033007650</t>
        </is>
      </c>
      <c r="D220" s="17" t="inlineStr">
        <is>
          <t>Life color plus 100ml  5.5</t>
        </is>
      </c>
      <c r="E220" s="18" t="n">
        <v>6</v>
      </c>
      <c r="F220" s="18" t="n">
        <v>72</v>
      </c>
      <c r="G220" s="18" t="n">
        <v>29</v>
      </c>
      <c r="H220" s="18" t="n">
        <v>29</v>
      </c>
      <c r="I220" s="18" t="n"/>
      <c r="J220" s="18" t="n"/>
      <c r="K220" s="19">
        <f>H220+I220+J220</f>
        <v/>
      </c>
      <c r="L220" s="19">
        <f>K220-G220</f>
        <v/>
      </c>
      <c r="M220" s="20">
        <f>L220*E220</f>
        <v/>
      </c>
      <c r="N220" s="20" t="n">
        <v>50</v>
      </c>
      <c r="O220" s="20" t="n"/>
      <c r="P220" s="20">
        <f>O220-N220</f>
        <v/>
      </c>
      <c r="Q220" s="20">
        <f>P220*E220</f>
        <v/>
      </c>
      <c r="R220" s="20" t="n"/>
    </row>
    <row r="221" ht="20" customHeight="1" s="1">
      <c r="A221" s="21" t="inlineStr">
        <is>
          <t>11234</t>
        </is>
      </c>
      <c r="B221" s="22" t="inlineStr">
        <is>
          <t>FarmaVita</t>
        </is>
      </c>
      <c r="C221" s="21" t="inlineStr">
        <is>
          <t>8022033007537</t>
        </is>
      </c>
      <c r="D221" s="22" t="inlineStr">
        <is>
          <t>Life color plus 100ml  5.52</t>
        </is>
      </c>
      <c r="E221" s="23" t="n">
        <v>6</v>
      </c>
      <c r="F221" s="23" t="n">
        <v>72</v>
      </c>
      <c r="G221" s="23" t="n">
        <v>55</v>
      </c>
      <c r="H221" s="23" t="n">
        <v>55</v>
      </c>
      <c r="I221" s="23" t="n"/>
      <c r="J221" s="23" t="n"/>
      <c r="K221" s="19">
        <f>H221+I221+J221</f>
        <v/>
      </c>
      <c r="L221" s="19">
        <f>K221-G221</f>
        <v/>
      </c>
      <c r="M221" s="20">
        <f>L221*E221</f>
        <v/>
      </c>
      <c r="N221" s="20" t="n">
        <v>50</v>
      </c>
      <c r="O221" s="20" t="n"/>
      <c r="P221" s="20">
        <f>O221-N221</f>
        <v/>
      </c>
      <c r="Q221" s="20">
        <f>P221*E221</f>
        <v/>
      </c>
      <c r="R221" s="20" t="n"/>
    </row>
    <row r="222" ht="20" customHeight="1" s="1">
      <c r="A222" s="16" t="inlineStr">
        <is>
          <t>11156</t>
        </is>
      </c>
      <c r="B222" s="17" t="inlineStr">
        <is>
          <t>FarmaVita</t>
        </is>
      </c>
      <c r="C222" s="16" t="inlineStr">
        <is>
          <t>8022033007810</t>
        </is>
      </c>
      <c r="D222" s="17" t="inlineStr">
        <is>
          <t>Life color plus 100ml  5.62</t>
        </is>
      </c>
      <c r="E222" s="18" t="n">
        <v>6</v>
      </c>
      <c r="F222" s="18" t="n">
        <v>72</v>
      </c>
      <c r="G222" s="18" t="n">
        <v>24</v>
      </c>
      <c r="H222" s="18" t="n">
        <v>24</v>
      </c>
      <c r="I222" s="18" t="n"/>
      <c r="J222" s="18" t="n"/>
      <c r="K222" s="19">
        <f>H222+I222+J222</f>
        <v/>
      </c>
      <c r="L222" s="19">
        <f>K222-G222</f>
        <v/>
      </c>
      <c r="M222" s="20">
        <f>L222*E222</f>
        <v/>
      </c>
      <c r="N222" s="20" t="n">
        <v>50</v>
      </c>
      <c r="O222" s="20" t="n"/>
      <c r="P222" s="20">
        <f>O222-N222</f>
        <v/>
      </c>
      <c r="Q222" s="20">
        <f>P222*E222</f>
        <v/>
      </c>
      <c r="R222" s="20" t="n"/>
    </row>
    <row r="223" ht="20" customHeight="1" s="1">
      <c r="A223" s="21" t="inlineStr">
        <is>
          <t>11376</t>
        </is>
      </c>
      <c r="B223" s="22" t="inlineStr">
        <is>
          <t>FarmaVita</t>
        </is>
      </c>
      <c r="C223" s="21" t="inlineStr">
        <is>
          <t>8022033007841</t>
        </is>
      </c>
      <c r="D223" s="22" t="inlineStr">
        <is>
          <t>Life color plus 100ml  5.64</t>
        </is>
      </c>
      <c r="E223" s="23" t="n">
        <v>6</v>
      </c>
      <c r="F223" s="23" t="n">
        <v>72</v>
      </c>
      <c r="G223" s="23" t="n">
        <v>0</v>
      </c>
      <c r="H223" s="23" t="n"/>
      <c r="I223" s="23" t="n"/>
      <c r="J223" s="23" t="n"/>
      <c r="K223" s="19">
        <f>H223+I223+J223</f>
        <v/>
      </c>
      <c r="L223" s="19">
        <f>K223-G223</f>
        <v/>
      </c>
      <c r="M223" s="20">
        <f>L223*E223</f>
        <v/>
      </c>
      <c r="N223" s="20" t="n">
        <v>50</v>
      </c>
      <c r="O223" s="20" t="n"/>
      <c r="P223" s="20">
        <f>O223-N223</f>
        <v/>
      </c>
      <c r="Q223" s="20">
        <f>P223*E223</f>
        <v/>
      </c>
      <c r="R223" s="20" t="n"/>
    </row>
    <row r="224" ht="20" customHeight="1" s="1">
      <c r="A224" s="16" t="inlineStr">
        <is>
          <t>11573</t>
        </is>
      </c>
      <c r="B224" s="17" t="inlineStr">
        <is>
          <t>FarmaVita</t>
        </is>
      </c>
      <c r="C224" s="16" t="inlineStr">
        <is>
          <t>8022033008077</t>
        </is>
      </c>
      <c r="D224" s="17" t="inlineStr">
        <is>
          <t>Life color plus 100ml  5.8 (5.7)</t>
        </is>
      </c>
      <c r="E224" s="18" t="n">
        <v>6</v>
      </c>
      <c r="F224" s="18" t="n">
        <v>72</v>
      </c>
      <c r="G224" s="18" t="n">
        <v>24</v>
      </c>
      <c r="H224" s="18" t="n">
        <v>24</v>
      </c>
      <c r="I224" s="18" t="n"/>
      <c r="J224" s="18" t="n"/>
      <c r="K224" s="19">
        <f>H224+I224+J224</f>
        <v/>
      </c>
      <c r="L224" s="19">
        <f>K224-G224</f>
        <v/>
      </c>
      <c r="M224" s="20">
        <f>L224*E224</f>
        <v/>
      </c>
      <c r="N224" s="20" t="n">
        <v>50</v>
      </c>
      <c r="O224" s="20" t="n"/>
      <c r="P224" s="20">
        <f>O224-N224</f>
        <v/>
      </c>
      <c r="Q224" s="20">
        <f>P224*E224</f>
        <v/>
      </c>
      <c r="R224" s="20" t="n"/>
    </row>
    <row r="225" ht="20" customHeight="1" s="1">
      <c r="A225" s="21" t="inlineStr">
        <is>
          <t>19476</t>
        </is>
      </c>
      <c r="B225" s="22" t="inlineStr">
        <is>
          <t>FarmaVita</t>
        </is>
      </c>
      <c r="C225" s="21" t="inlineStr">
        <is>
          <t>8022033108586</t>
        </is>
      </c>
      <c r="D225" s="22" t="inlineStr">
        <is>
          <t>Life color plus 100ml  5.81 (5.71)</t>
        </is>
      </c>
      <c r="E225" s="23" t="n">
        <v>6</v>
      </c>
      <c r="F225" s="23" t="n">
        <v>72</v>
      </c>
      <c r="G225" s="23" t="n">
        <v>39</v>
      </c>
      <c r="H225" s="23" t="n">
        <v>39</v>
      </c>
      <c r="I225" s="23" t="n"/>
      <c r="J225" s="23" t="n"/>
      <c r="K225" s="19">
        <f>H225+I225+J225</f>
        <v/>
      </c>
      <c r="L225" s="19">
        <f>K225-G225</f>
        <v/>
      </c>
      <c r="M225" s="20">
        <f>L225*E225</f>
        <v/>
      </c>
      <c r="N225" s="20" t="n">
        <v>50</v>
      </c>
      <c r="O225" s="20" t="n"/>
      <c r="P225" s="20">
        <f>O225-N225</f>
        <v/>
      </c>
      <c r="Q225" s="20">
        <f>P225*E225</f>
        <v/>
      </c>
      <c r="R225" s="20" t="n"/>
    </row>
    <row r="226" ht="20" customHeight="1" s="1">
      <c r="A226" s="16" t="inlineStr">
        <is>
          <t>11268</t>
        </is>
      </c>
      <c r="B226" s="17" t="inlineStr">
        <is>
          <t>FarmaVita</t>
        </is>
      </c>
      <c r="C226" s="16" t="inlineStr">
        <is>
          <t>8022033008053</t>
        </is>
      </c>
      <c r="D226" s="17" t="inlineStr">
        <is>
          <t>Life color plus 100ml  5.88 (5.77)</t>
        </is>
      </c>
      <c r="E226" s="18" t="n">
        <v>6</v>
      </c>
      <c r="F226" s="18" t="n">
        <v>72</v>
      </c>
      <c r="G226" s="18" t="n">
        <v>49</v>
      </c>
      <c r="H226" s="18" t="n">
        <v>49</v>
      </c>
      <c r="I226" s="18" t="n"/>
      <c r="J226" s="18" t="n"/>
      <c r="K226" s="19">
        <f>H226+I226+J226</f>
        <v/>
      </c>
      <c r="L226" s="19">
        <f>K226-G226</f>
        <v/>
      </c>
      <c r="M226" s="20">
        <f>L226*E226</f>
        <v/>
      </c>
      <c r="N226" s="20" t="n">
        <v>50</v>
      </c>
      <c r="O226" s="20" t="n"/>
      <c r="P226" s="20">
        <f>O226-N226</f>
        <v/>
      </c>
      <c r="Q226" s="20">
        <f>P226*E226</f>
        <v/>
      </c>
      <c r="R226" s="20" t="n"/>
    </row>
    <row r="227" ht="20" customHeight="1" s="1">
      <c r="A227" s="21" t="inlineStr">
        <is>
          <t>10565</t>
        </is>
      </c>
      <c r="B227" s="22" t="inlineStr">
        <is>
          <t>FarmaVita</t>
        </is>
      </c>
      <c r="C227" s="21" t="inlineStr">
        <is>
          <t>8022033007056</t>
        </is>
      </c>
      <c r="D227" s="22" t="inlineStr">
        <is>
          <t>Life color plus 100ml  6.0</t>
        </is>
      </c>
      <c r="E227" s="23" t="n">
        <v>6</v>
      </c>
      <c r="F227" s="23" t="n">
        <v>72</v>
      </c>
      <c r="G227" s="23" t="n">
        <v>380</v>
      </c>
      <c r="H227" s="23" t="n"/>
      <c r="I227" s="23" t="n"/>
      <c r="J227" s="23" t="n"/>
      <c r="K227" s="19" t="n"/>
      <c r="L227" s="19" t="n"/>
      <c r="M227" s="20" t="n"/>
      <c r="N227" s="20" t="n">
        <v>50</v>
      </c>
      <c r="O227" s="20" t="n"/>
      <c r="P227" s="20">
        <f>O227-N227</f>
        <v/>
      </c>
      <c r="Q227" s="20">
        <f>P227*E227</f>
        <v/>
      </c>
      <c r="R227" s="20" t="n"/>
    </row>
    <row r="228" ht="20" customHeight="1" s="1">
      <c r="A228" s="16" t="inlineStr">
        <is>
          <t>10990</t>
        </is>
      </c>
      <c r="B228" s="17" t="inlineStr">
        <is>
          <t>FarmaVita</t>
        </is>
      </c>
      <c r="C228" s="16" t="inlineStr">
        <is>
          <t>8022033007124</t>
        </is>
      </c>
      <c r="D228" s="17" t="inlineStr">
        <is>
          <t>Life color plus 100ml  6.00</t>
        </is>
      </c>
      <c r="E228" s="18" t="n">
        <v>6</v>
      </c>
      <c r="F228" s="18" t="n">
        <v>72</v>
      </c>
      <c r="G228" s="18" t="n">
        <v>215</v>
      </c>
      <c r="H228" s="18" t="n"/>
      <c r="I228" s="18" t="n"/>
      <c r="J228" s="18" t="n"/>
      <c r="K228" s="19" t="n"/>
      <c r="L228" s="19" t="n"/>
      <c r="M228" s="20" t="n"/>
      <c r="N228" s="20" t="n">
        <v>50</v>
      </c>
      <c r="O228" s="20" t="n"/>
      <c r="P228" s="20">
        <f>O228-N228</f>
        <v/>
      </c>
      <c r="Q228" s="20">
        <f>P228*E228</f>
        <v/>
      </c>
      <c r="R228" s="20" t="n"/>
    </row>
    <row r="229" ht="20" customHeight="1" s="1">
      <c r="A229" s="21" t="inlineStr">
        <is>
          <t>10761</t>
        </is>
      </c>
      <c r="B229" s="22" t="inlineStr">
        <is>
          <t>FarmaVita</t>
        </is>
      </c>
      <c r="C229" s="21" t="inlineStr">
        <is>
          <t>8022033007179</t>
        </is>
      </c>
      <c r="D229" s="22" t="inlineStr">
        <is>
          <t>Life color plus 100ml  6.03</t>
        </is>
      </c>
      <c r="E229" s="23" t="n">
        <v>6</v>
      </c>
      <c r="F229" s="23" t="n">
        <v>72</v>
      </c>
      <c r="G229" s="23" t="n">
        <v>81</v>
      </c>
      <c r="H229" s="23" t="n"/>
      <c r="I229" s="23" t="n"/>
      <c r="J229" s="23" t="n"/>
      <c r="K229" s="19" t="n"/>
      <c r="L229" s="19" t="n"/>
      <c r="M229" s="20" t="n"/>
      <c r="N229" s="20" t="n">
        <v>50</v>
      </c>
      <c r="O229" s="20" t="n"/>
      <c r="P229" s="20">
        <f>O229-N229</f>
        <v/>
      </c>
      <c r="Q229" s="20">
        <f>P229*E229</f>
        <v/>
      </c>
      <c r="R229" s="20" t="n"/>
    </row>
    <row r="230" ht="20" customHeight="1" s="1">
      <c r="A230" s="16" t="inlineStr">
        <is>
          <t>11224</t>
        </is>
      </c>
      <c r="B230" s="17" t="inlineStr">
        <is>
          <t>FarmaVita</t>
        </is>
      </c>
      <c r="C230" s="16" t="inlineStr">
        <is>
          <t>8022033007216</t>
        </is>
      </c>
      <c r="D230" s="17" t="inlineStr">
        <is>
          <t>Life color plus 100ml  6.07</t>
        </is>
      </c>
      <c r="E230" s="18" t="n">
        <v>6</v>
      </c>
      <c r="F230" s="18" t="n">
        <v>72</v>
      </c>
      <c r="G230" s="18" t="n">
        <v>81</v>
      </c>
      <c r="H230" s="18" t="n">
        <v>78</v>
      </c>
      <c r="I230" s="18" t="n">
        <v>3</v>
      </c>
      <c r="J230" s="18" t="n"/>
      <c r="K230" s="19">
        <f>H230+I230+J230</f>
        <v/>
      </c>
      <c r="L230" s="19">
        <f>K230-G230</f>
        <v/>
      </c>
      <c r="M230" s="20">
        <f>L230*E230</f>
        <v/>
      </c>
      <c r="N230" s="20" t="n">
        <v>50</v>
      </c>
      <c r="O230" s="20" t="n"/>
      <c r="P230" s="20">
        <f>O230-N230</f>
        <v/>
      </c>
      <c r="Q230" s="20">
        <f>P230*E230</f>
        <v/>
      </c>
      <c r="R230" s="20" t="n"/>
    </row>
    <row r="231" ht="20" customHeight="1" s="1">
      <c r="A231" s="21" t="inlineStr">
        <is>
          <t>10653</t>
        </is>
      </c>
      <c r="B231" s="22" t="inlineStr">
        <is>
          <t>FarmaVita</t>
        </is>
      </c>
      <c r="C231" s="21" t="inlineStr">
        <is>
          <t>8022033007285</t>
        </is>
      </c>
      <c r="D231" s="22" t="inlineStr">
        <is>
          <t>Life color plus 100ml  6.1</t>
        </is>
      </c>
      <c r="E231" s="23" t="n">
        <v>6</v>
      </c>
      <c r="F231" s="23" t="n">
        <v>72</v>
      </c>
      <c r="G231" s="23" t="n">
        <v>371</v>
      </c>
      <c r="H231" s="23" t="n"/>
      <c r="I231" s="23" t="n"/>
      <c r="J231" s="23" t="n"/>
      <c r="K231" s="19" t="n"/>
      <c r="L231" s="19" t="n"/>
      <c r="M231" s="20" t="n"/>
      <c r="N231" s="20" t="n">
        <v>50</v>
      </c>
      <c r="O231" s="20" t="n"/>
      <c r="P231" s="20">
        <f>O231-N231</f>
        <v/>
      </c>
      <c r="Q231" s="20">
        <f>P231*E231</f>
        <v/>
      </c>
      <c r="R231" s="20" t="n"/>
    </row>
    <row r="232" ht="20" customHeight="1" s="1">
      <c r="A232" s="16" t="inlineStr">
        <is>
          <t>17305</t>
        </is>
      </c>
      <c r="B232" s="17" t="inlineStr">
        <is>
          <t>FarmaVita</t>
        </is>
      </c>
      <c r="C232" s="16" t="inlineStr">
        <is>
          <t>8022033107534</t>
        </is>
      </c>
      <c r="D232" s="17" t="inlineStr">
        <is>
          <t>Life color plus 100ml  6.11</t>
        </is>
      </c>
      <c r="E232" s="18" t="n">
        <v>6</v>
      </c>
      <c r="F232" s="18" t="n">
        <v>72</v>
      </c>
      <c r="G232" s="18" t="n">
        <v>158</v>
      </c>
      <c r="H232" s="18" t="n">
        <v>86</v>
      </c>
      <c r="I232" s="18" t="n">
        <v>72</v>
      </c>
      <c r="J232" s="18" t="n"/>
      <c r="K232" s="19">
        <f>H232+I232+J232</f>
        <v/>
      </c>
      <c r="L232" s="19">
        <f>K232-G232</f>
        <v/>
      </c>
      <c r="M232" s="20">
        <f>L232*E232</f>
        <v/>
      </c>
      <c r="N232" s="20" t="n">
        <v>50</v>
      </c>
      <c r="O232" s="20" t="n"/>
      <c r="P232" s="20">
        <f>O232-N232</f>
        <v/>
      </c>
      <c r="Q232" s="20">
        <f>P232*E232</f>
        <v/>
      </c>
      <c r="R232" s="20" t="n"/>
    </row>
    <row r="233" ht="20" customHeight="1" s="1">
      <c r="A233" s="21" t="inlineStr">
        <is>
          <t>10632</t>
        </is>
      </c>
      <c r="B233" s="22" t="inlineStr">
        <is>
          <t>FarmaVita</t>
        </is>
      </c>
      <c r="C233" s="21" t="inlineStr">
        <is>
          <t>8022033102058</t>
        </is>
      </c>
      <c r="D233" s="22" t="inlineStr">
        <is>
          <t>Life color plus 100ml  6.12</t>
        </is>
      </c>
      <c r="E233" s="23" t="n">
        <v>6</v>
      </c>
      <c r="F233" s="23" t="n">
        <v>72</v>
      </c>
      <c r="G233" s="23" t="n">
        <v>9</v>
      </c>
      <c r="H233" s="23" t="n">
        <v>9</v>
      </c>
      <c r="I233" s="23" t="n"/>
      <c r="J233" s="23" t="n"/>
      <c r="K233" s="19">
        <f>H233+I233+J233</f>
        <v/>
      </c>
      <c r="L233" s="19">
        <f>K233-G233</f>
        <v/>
      </c>
      <c r="M233" s="20">
        <f>L233*E233</f>
        <v/>
      </c>
      <c r="N233" s="20" t="n">
        <v>50</v>
      </c>
      <c r="O233" s="20" t="n"/>
      <c r="P233" s="20">
        <f>O233-N233</f>
        <v/>
      </c>
      <c r="Q233" s="20">
        <f>P233*E233</f>
        <v/>
      </c>
      <c r="R233" s="20" t="n"/>
    </row>
    <row r="234" ht="20" customHeight="1" s="1">
      <c r="A234" s="16" t="inlineStr">
        <is>
          <t>11123</t>
        </is>
      </c>
      <c r="B234" s="17" t="inlineStr">
        <is>
          <t>FarmaVita</t>
        </is>
      </c>
      <c r="C234" s="16" t="inlineStr">
        <is>
          <t>8022033007551</t>
        </is>
      </c>
      <c r="D234" s="17" t="inlineStr">
        <is>
          <t>Life color plus 100ml  6.13</t>
        </is>
      </c>
      <c r="E234" s="18" t="n">
        <v>6</v>
      </c>
      <c r="F234" s="18" t="n">
        <v>72</v>
      </c>
      <c r="G234" s="18" t="n">
        <v>20</v>
      </c>
      <c r="H234" s="18" t="n">
        <v>20</v>
      </c>
      <c r="I234" s="18" t="n"/>
      <c r="J234" s="18" t="n"/>
      <c r="K234" s="19">
        <f>H234+I234+J234</f>
        <v/>
      </c>
      <c r="L234" s="19">
        <f>K234-G234</f>
        <v/>
      </c>
      <c r="M234" s="20">
        <f>L234*E234</f>
        <v/>
      </c>
      <c r="N234" s="20" t="n">
        <v>50</v>
      </c>
      <c r="O234" s="20" t="n"/>
      <c r="P234" s="20">
        <f>O234-N234</f>
        <v/>
      </c>
      <c r="Q234" s="20">
        <f>P234*E234</f>
        <v/>
      </c>
      <c r="R234" s="20" t="n"/>
    </row>
    <row r="235" ht="20" customHeight="1" s="1">
      <c r="A235" s="21" t="inlineStr">
        <is>
          <t>10762</t>
        </is>
      </c>
      <c r="B235" s="22" t="inlineStr">
        <is>
          <t>FarmaVita</t>
        </is>
      </c>
      <c r="C235" s="21" t="inlineStr">
        <is>
          <t>8022033007612</t>
        </is>
      </c>
      <c r="D235" s="22" t="inlineStr">
        <is>
          <t>Life color plus 100ml  6.15</t>
        </is>
      </c>
      <c r="E235" s="23" t="n">
        <v>6</v>
      </c>
      <c r="F235" s="23" t="n">
        <v>72</v>
      </c>
      <c r="G235" s="23" t="n">
        <v>26</v>
      </c>
      <c r="H235" s="23" t="n">
        <v>26</v>
      </c>
      <c r="I235" s="23" t="n"/>
      <c r="J235" s="23" t="n"/>
      <c r="K235" s="19">
        <f>H235+I235+J235</f>
        <v/>
      </c>
      <c r="L235" s="19">
        <f>K235-G235</f>
        <v/>
      </c>
      <c r="M235" s="20">
        <f>L235*E235</f>
        <v/>
      </c>
      <c r="N235" s="20" t="n">
        <v>50</v>
      </c>
      <c r="O235" s="20" t="n"/>
      <c r="P235" s="20">
        <f>O235-N235</f>
        <v/>
      </c>
      <c r="Q235" s="20">
        <f>P235*E235</f>
        <v/>
      </c>
      <c r="R235" s="20" t="n"/>
    </row>
    <row r="236" ht="20" customHeight="1" s="1">
      <c r="A236" s="16" t="inlineStr">
        <is>
          <t>10611</t>
        </is>
      </c>
      <c r="B236" s="17" t="inlineStr">
        <is>
          <t>FarmaVita</t>
        </is>
      </c>
      <c r="C236" s="16" t="inlineStr">
        <is>
          <t>8022033007926</t>
        </is>
      </c>
      <c r="D236" s="17" t="inlineStr">
        <is>
          <t>Life color plus 100ml  6.26</t>
        </is>
      </c>
      <c r="E236" s="18" t="n">
        <v>6</v>
      </c>
      <c r="F236" s="18" t="n">
        <v>72</v>
      </c>
      <c r="G236" s="18" t="n">
        <v>29</v>
      </c>
      <c r="H236" s="18" t="n">
        <v>29</v>
      </c>
      <c r="I236" s="18" t="n"/>
      <c r="J236" s="18" t="n"/>
      <c r="K236" s="19">
        <f>H236+I236+J236</f>
        <v/>
      </c>
      <c r="L236" s="19">
        <f>K236-G236</f>
        <v/>
      </c>
      <c r="M236" s="20">
        <f>L236*E236</f>
        <v/>
      </c>
      <c r="N236" s="20" t="n">
        <v>50</v>
      </c>
      <c r="O236" s="20" t="n"/>
      <c r="P236" s="20">
        <f>O236-N236</f>
        <v/>
      </c>
      <c r="Q236" s="20">
        <f>P236*E236</f>
        <v/>
      </c>
      <c r="R236" s="20" t="n"/>
    </row>
    <row r="237" ht="20" customHeight="1" s="1">
      <c r="A237" s="21" t="inlineStr">
        <is>
          <t>11337</t>
        </is>
      </c>
      <c r="B237" s="22" t="inlineStr">
        <is>
          <t>FarmaVita</t>
        </is>
      </c>
      <c r="C237" s="21" t="inlineStr">
        <is>
          <t>8022033007353</t>
        </is>
      </c>
      <c r="D237" s="22" t="inlineStr">
        <is>
          <t>Life color plus 100ml  6.3</t>
        </is>
      </c>
      <c r="E237" s="23" t="n">
        <v>6</v>
      </c>
      <c r="F237" s="23" t="n">
        <v>72</v>
      </c>
      <c r="G237" s="23" t="n">
        <v>50</v>
      </c>
      <c r="H237" s="23" t="n">
        <v>50</v>
      </c>
      <c r="I237" s="23" t="n"/>
      <c r="J237" s="23" t="n"/>
      <c r="K237" s="19">
        <f>H237+I237+J237</f>
        <v/>
      </c>
      <c r="L237" s="19">
        <f>K237-G237</f>
        <v/>
      </c>
      <c r="M237" s="20">
        <f>L237*E237</f>
        <v/>
      </c>
      <c r="N237" s="20" t="n">
        <v>50</v>
      </c>
      <c r="O237" s="20" t="n"/>
      <c r="P237" s="20">
        <f>O237-N237</f>
        <v/>
      </c>
      <c r="Q237" s="20">
        <f>P237*E237</f>
        <v/>
      </c>
      <c r="R237" s="20" t="n"/>
    </row>
    <row r="238" ht="20" customHeight="1" s="1">
      <c r="A238" s="16" t="inlineStr">
        <is>
          <t>11072</t>
        </is>
      </c>
      <c r="B238" s="17" t="inlineStr">
        <is>
          <t>FarmaVita</t>
        </is>
      </c>
      <c r="C238" s="16" t="inlineStr">
        <is>
          <t>8022033007452</t>
        </is>
      </c>
      <c r="D238" s="17" t="inlineStr">
        <is>
          <t>Life color plus 100ml  6.31</t>
        </is>
      </c>
      <c r="E238" s="18" t="n">
        <v>6</v>
      </c>
      <c r="F238" s="18" t="n">
        <v>72</v>
      </c>
      <c r="G238" s="18" t="n">
        <v>40</v>
      </c>
      <c r="H238" s="18" t="n">
        <v>40</v>
      </c>
      <c r="I238" s="18" t="n"/>
      <c r="J238" s="18" t="n"/>
      <c r="K238" s="19">
        <f>H238+I238+J238</f>
        <v/>
      </c>
      <c r="L238" s="19">
        <f>K238-G238</f>
        <v/>
      </c>
      <c r="M238" s="20">
        <f>L238*E238</f>
        <v/>
      </c>
      <c r="N238" s="20" t="n">
        <v>50</v>
      </c>
      <c r="O238" s="20" t="n"/>
      <c r="P238" s="20">
        <f>O238-N238</f>
        <v/>
      </c>
      <c r="Q238" s="20">
        <f>P238*E238</f>
        <v/>
      </c>
      <c r="R238" s="20" t="n"/>
    </row>
    <row r="239" ht="20" customHeight="1" s="1">
      <c r="A239" s="21" t="inlineStr">
        <is>
          <t>11099</t>
        </is>
      </c>
      <c r="B239" s="22" t="inlineStr">
        <is>
          <t>FarmaVita</t>
        </is>
      </c>
      <c r="C239" s="21" t="inlineStr">
        <is>
          <t>8022033007476</t>
        </is>
      </c>
      <c r="D239" s="22" t="inlineStr">
        <is>
          <t>Life color plus 100ml  6.32</t>
        </is>
      </c>
      <c r="E239" s="23" t="n">
        <v>6</v>
      </c>
      <c r="F239" s="23" t="n">
        <v>72</v>
      </c>
      <c r="G239" s="23" t="n">
        <v>23</v>
      </c>
      <c r="H239" s="23" t="n">
        <v>22</v>
      </c>
      <c r="I239" s="23" t="n">
        <v>1</v>
      </c>
      <c r="J239" s="23" t="n"/>
      <c r="K239" s="19">
        <f>H239+I239+J239</f>
        <v/>
      </c>
      <c r="L239" s="19">
        <f>K239-G239</f>
        <v/>
      </c>
      <c r="M239" s="20">
        <f>L239*E239</f>
        <v/>
      </c>
      <c r="N239" s="20" t="n">
        <v>50</v>
      </c>
      <c r="O239" s="20" t="n"/>
      <c r="P239" s="20">
        <f>O239-N239</f>
        <v/>
      </c>
      <c r="Q239" s="20">
        <f>P239*E239</f>
        <v/>
      </c>
      <c r="R239" s="20" t="n"/>
    </row>
    <row r="240" ht="20" customHeight="1" s="1">
      <c r="A240" s="16" t="inlineStr">
        <is>
          <t>11391</t>
        </is>
      </c>
      <c r="B240" s="17" t="inlineStr">
        <is>
          <t>FarmaVita</t>
        </is>
      </c>
      <c r="C240" s="16" t="inlineStr">
        <is>
          <t>8022033007421</t>
        </is>
      </c>
      <c r="D240" s="17" t="inlineStr">
        <is>
          <t>Life color plus 100ml  6.34</t>
        </is>
      </c>
      <c r="E240" s="18" t="n">
        <v>6</v>
      </c>
      <c r="F240" s="18" t="n">
        <v>72</v>
      </c>
      <c r="G240" s="18" t="n">
        <v>15</v>
      </c>
      <c r="H240" s="18" t="n">
        <v>15</v>
      </c>
      <c r="I240" s="18" t="n"/>
      <c r="J240" s="18" t="n"/>
      <c r="K240" s="19">
        <f>H240+I240+J240</f>
        <v/>
      </c>
      <c r="L240" s="19">
        <f>K240-G240</f>
        <v/>
      </c>
      <c r="M240" s="20">
        <f>L240*E240</f>
        <v/>
      </c>
      <c r="N240" s="20" t="n">
        <v>50</v>
      </c>
      <c r="O240" s="20" t="n"/>
      <c r="P240" s="20">
        <f>O240-N240</f>
        <v/>
      </c>
      <c r="Q240" s="20">
        <f>P240*E240</f>
        <v/>
      </c>
      <c r="R240" s="20" t="n"/>
    </row>
    <row r="241" ht="20" customHeight="1" s="1">
      <c r="A241" s="21" t="inlineStr">
        <is>
          <t>11071</t>
        </is>
      </c>
      <c r="B241" s="22" t="inlineStr">
        <is>
          <t>FarmaVita</t>
        </is>
      </c>
      <c r="C241" s="21" t="inlineStr">
        <is>
          <t>8022033007513</t>
        </is>
      </c>
      <c r="D241" s="22" t="inlineStr">
        <is>
          <t>Life color plus 100ml  6.35</t>
        </is>
      </c>
      <c r="E241" s="23" t="n">
        <v>6</v>
      </c>
      <c r="F241" s="23" t="n">
        <v>72</v>
      </c>
      <c r="G241" s="23" t="n">
        <v>31</v>
      </c>
      <c r="H241" s="23" t="n"/>
      <c r="I241" s="23" t="n"/>
      <c r="J241" s="23" t="n"/>
      <c r="K241" s="19" t="n"/>
      <c r="L241" s="19" t="n"/>
      <c r="M241" s="20" t="n"/>
      <c r="N241" s="20" t="n">
        <v>50</v>
      </c>
      <c r="O241" s="20" t="n"/>
      <c r="P241" s="20">
        <f>O241-N241</f>
        <v/>
      </c>
      <c r="Q241" s="20">
        <f>P241*E241</f>
        <v/>
      </c>
      <c r="R241" s="20" t="n"/>
    </row>
    <row r="242" ht="20" customHeight="1" s="1">
      <c r="A242" s="16" t="inlineStr">
        <is>
          <t>11407</t>
        </is>
      </c>
      <c r="B242" s="17" t="inlineStr">
        <is>
          <t>FarmaVita</t>
        </is>
      </c>
      <c r="C242" s="16" t="inlineStr">
        <is>
          <t>8022033007698</t>
        </is>
      </c>
      <c r="D242" s="17" t="inlineStr">
        <is>
          <t>Life color plus 100ml  6.4</t>
        </is>
      </c>
      <c r="E242" s="18" t="n">
        <v>6</v>
      </c>
      <c r="F242" s="18" t="n">
        <v>72</v>
      </c>
      <c r="G242" s="18" t="n">
        <v>9</v>
      </c>
      <c r="H242" s="18" t="n"/>
      <c r="I242" s="18" t="n"/>
      <c r="J242" s="18" t="n"/>
      <c r="K242" s="19" t="n"/>
      <c r="L242" s="19" t="n"/>
      <c r="M242" s="20" t="n"/>
      <c r="N242" s="20" t="n">
        <v>50</v>
      </c>
      <c r="O242" s="20" t="n"/>
      <c r="P242" s="20">
        <f>O242-N242</f>
        <v/>
      </c>
      <c r="Q242" s="20">
        <f>P242*E242</f>
        <v/>
      </c>
      <c r="R242" s="20" t="n"/>
    </row>
    <row r="243" ht="20" customHeight="1" s="1">
      <c r="A243" s="21" t="inlineStr">
        <is>
          <t>10938</t>
        </is>
      </c>
      <c r="B243" s="22" t="inlineStr">
        <is>
          <t>FarmaVita</t>
        </is>
      </c>
      <c r="C243" s="21" t="inlineStr">
        <is>
          <t>8022033007742</t>
        </is>
      </c>
      <c r="D243" s="22" t="inlineStr">
        <is>
          <t>Life color plus 100ml  6.43</t>
        </is>
      </c>
      <c r="E243" s="23" t="n">
        <v>6</v>
      </c>
      <c r="F243" s="23" t="n">
        <v>72</v>
      </c>
      <c r="G243" s="23" t="n">
        <v>18</v>
      </c>
      <c r="H243" s="23" t="n">
        <v>18</v>
      </c>
      <c r="I243" s="23" t="n"/>
      <c r="J243" s="23" t="n"/>
      <c r="K243" s="19">
        <f>H243+I243+J243</f>
        <v/>
      </c>
      <c r="L243" s="19">
        <f>K243-G243</f>
        <v/>
      </c>
      <c r="M243" s="20">
        <f>L243*E243</f>
        <v/>
      </c>
      <c r="N243" s="20" t="n">
        <v>50</v>
      </c>
      <c r="O243" s="20" t="n"/>
      <c r="P243" s="20">
        <f>O243-N243</f>
        <v/>
      </c>
      <c r="Q243" s="20">
        <f>P243*E243</f>
        <v/>
      </c>
      <c r="R243" s="20" t="n"/>
    </row>
    <row r="244" ht="20" customHeight="1" s="1">
      <c r="A244" s="16" t="inlineStr">
        <is>
          <t>10692</t>
        </is>
      </c>
      <c r="B244" s="17" t="inlineStr">
        <is>
          <t>FarmaVita</t>
        </is>
      </c>
      <c r="C244" s="16" t="inlineStr">
        <is>
          <t>8022033007766</t>
        </is>
      </c>
      <c r="D244" s="17" t="inlineStr">
        <is>
          <t>Life color plus 100ml  6.45</t>
        </is>
      </c>
      <c r="E244" s="18" t="n">
        <v>6</v>
      </c>
      <c r="F244" s="18" t="n">
        <v>72</v>
      </c>
      <c r="G244" s="18" t="n">
        <v>26</v>
      </c>
      <c r="H244" s="18" t="n">
        <v>26</v>
      </c>
      <c r="I244" s="18" t="n"/>
      <c r="J244" s="18" t="n"/>
      <c r="K244" s="19">
        <f>H244+I244+J244</f>
        <v/>
      </c>
      <c r="L244" s="19">
        <f>K244-G244</f>
        <v/>
      </c>
      <c r="M244" s="20">
        <f>L244*E244</f>
        <v/>
      </c>
      <c r="N244" s="20" t="n">
        <v>50</v>
      </c>
      <c r="O244" s="20" t="n"/>
      <c r="P244" s="20">
        <f>O244-N244</f>
        <v/>
      </c>
      <c r="Q244" s="20">
        <f>P244*E244</f>
        <v/>
      </c>
      <c r="R244" s="20" t="n"/>
    </row>
    <row r="245" ht="20" customHeight="1" s="1">
      <c r="A245" s="21" t="inlineStr">
        <is>
          <t>10803</t>
        </is>
      </c>
      <c r="B245" s="22" t="inlineStr">
        <is>
          <t>FarmaVita</t>
        </is>
      </c>
      <c r="C245" s="21" t="inlineStr">
        <is>
          <t>8022033007797</t>
        </is>
      </c>
      <c r="D245" s="22" t="inlineStr">
        <is>
          <t>Life color plus 100ml  6.46</t>
        </is>
      </c>
      <c r="E245" s="23" t="n">
        <v>6</v>
      </c>
      <c r="F245" s="23" t="n">
        <v>72</v>
      </c>
      <c r="G245" s="23" t="n">
        <v>33</v>
      </c>
      <c r="H245" s="23" t="n">
        <v>33</v>
      </c>
      <c r="I245" s="23" t="n"/>
      <c r="J245" s="23" t="n"/>
      <c r="K245" s="19">
        <f>H245+I245+J245</f>
        <v/>
      </c>
      <c r="L245" s="19">
        <f>K245-G245</f>
        <v/>
      </c>
      <c r="M245" s="20">
        <f>L245*E245</f>
        <v/>
      </c>
      <c r="N245" s="20" t="n">
        <v>50</v>
      </c>
      <c r="O245" s="20" t="n"/>
      <c r="P245" s="20">
        <f>O245-N245</f>
        <v/>
      </c>
      <c r="Q245" s="20">
        <f>P245*E245</f>
        <v/>
      </c>
      <c r="R245" s="20" t="n"/>
    </row>
    <row r="246" ht="20" customHeight="1" s="1">
      <c r="A246" s="16" t="inlineStr">
        <is>
          <t>11394</t>
        </is>
      </c>
      <c r="B246" s="17" t="inlineStr">
        <is>
          <t>FarmaVita</t>
        </is>
      </c>
      <c r="C246" s="16" t="inlineStr">
        <is>
          <t>8022033007667</t>
        </is>
      </c>
      <c r="D246" s="17" t="inlineStr">
        <is>
          <t>Life color plus 100ml  6.5</t>
        </is>
      </c>
      <c r="E246" s="18" t="n">
        <v>6</v>
      </c>
      <c r="F246" s="18" t="n">
        <v>72</v>
      </c>
      <c r="G246" s="18" t="n">
        <v>8</v>
      </c>
      <c r="H246" s="18" t="n">
        <v>8</v>
      </c>
      <c r="I246" s="18" t="n"/>
      <c r="J246" s="18" t="n"/>
      <c r="K246" s="19">
        <f>H246+I246+J246</f>
        <v/>
      </c>
      <c r="L246" s="19">
        <f>K246-G246</f>
        <v/>
      </c>
      <c r="M246" s="20">
        <f>L246*E246</f>
        <v/>
      </c>
      <c r="N246" s="20" t="n">
        <v>50</v>
      </c>
      <c r="O246" s="20" t="n"/>
      <c r="P246" s="20">
        <f>O246-N246</f>
        <v/>
      </c>
      <c r="Q246" s="20">
        <f>P246*E246</f>
        <v/>
      </c>
      <c r="R246" s="20" t="n"/>
    </row>
    <row r="247" ht="20" customHeight="1" s="1">
      <c r="A247" s="21" t="inlineStr">
        <is>
          <t>11182</t>
        </is>
      </c>
      <c r="B247" s="22" t="inlineStr">
        <is>
          <t>FarmaVita</t>
        </is>
      </c>
      <c r="C247" s="21" t="inlineStr">
        <is>
          <t>8022033007544</t>
        </is>
      </c>
      <c r="D247" s="22" t="inlineStr">
        <is>
          <t>Life color plus 100ml  6.52</t>
        </is>
      </c>
      <c r="E247" s="23" t="n">
        <v>6</v>
      </c>
      <c r="F247" s="23" t="n">
        <v>72</v>
      </c>
      <c r="G247" s="23" t="n">
        <v>1</v>
      </c>
      <c r="H247" s="23" t="n">
        <v>1</v>
      </c>
      <c r="I247" s="23" t="n"/>
      <c r="J247" s="23" t="n"/>
      <c r="K247" s="19">
        <f>H247+I247+J247</f>
        <v/>
      </c>
      <c r="L247" s="19">
        <f>K247-G247</f>
        <v/>
      </c>
      <c r="M247" s="20">
        <f>L247*E247</f>
        <v/>
      </c>
      <c r="N247" s="20" t="n">
        <v>50</v>
      </c>
      <c r="O247" s="20" t="n"/>
      <c r="P247" s="20">
        <f>O247-N247</f>
        <v/>
      </c>
      <c r="Q247" s="20">
        <f>P247*E247</f>
        <v/>
      </c>
      <c r="R247" s="20" t="n"/>
    </row>
    <row r="248" ht="20" customHeight="1" s="1">
      <c r="A248" s="16" t="inlineStr">
        <is>
          <t>10927</t>
        </is>
      </c>
      <c r="B248" s="17" t="inlineStr">
        <is>
          <t>FarmaVita</t>
        </is>
      </c>
      <c r="C248" s="16" t="inlineStr">
        <is>
          <t>8022033007827</t>
        </is>
      </c>
      <c r="D248" s="17" t="inlineStr">
        <is>
          <t>Life color plus 100ml  6.62</t>
        </is>
      </c>
      <c r="E248" s="18" t="n">
        <v>6</v>
      </c>
      <c r="F248" s="18" t="n">
        <v>72</v>
      </c>
      <c r="G248" s="18" t="n">
        <v>1</v>
      </c>
      <c r="H248" s="18" t="n">
        <v>1</v>
      </c>
      <c r="I248" s="18" t="n"/>
      <c r="J248" s="18" t="n"/>
      <c r="K248" s="19">
        <f>H248+I248+J248</f>
        <v/>
      </c>
      <c r="L248" s="19">
        <f>K248-G248</f>
        <v/>
      </c>
      <c r="M248" s="20">
        <f>L248*E248</f>
        <v/>
      </c>
      <c r="N248" s="20" t="n">
        <v>50</v>
      </c>
      <c r="O248" s="20" t="n"/>
      <c r="P248" s="20">
        <f>O248-N248</f>
        <v/>
      </c>
      <c r="Q248" s="20">
        <f>P248*E248</f>
        <v/>
      </c>
      <c r="R248" s="20" t="n"/>
    </row>
    <row r="249" ht="20" customHeight="1" s="1">
      <c r="A249" s="21" t="inlineStr">
        <is>
          <t>10782</t>
        </is>
      </c>
      <c r="B249" s="22" t="inlineStr">
        <is>
          <t>FarmaVita</t>
        </is>
      </c>
      <c r="C249" s="21" t="inlineStr">
        <is>
          <t>8022033007858</t>
        </is>
      </c>
      <c r="D249" s="22" t="inlineStr">
        <is>
          <t>Life color plus 100ml  6.64</t>
        </is>
      </c>
      <c r="E249" s="23" t="n">
        <v>6</v>
      </c>
      <c r="F249" s="23" t="n">
        <v>72</v>
      </c>
      <c r="G249" s="23" t="n">
        <v>0</v>
      </c>
      <c r="H249" s="23" t="n"/>
      <c r="I249" s="23" t="n"/>
      <c r="J249" s="23" t="n"/>
      <c r="K249" s="19">
        <f>H249+I249+J249</f>
        <v/>
      </c>
      <c r="L249" s="19">
        <f>K249-G249</f>
        <v/>
      </c>
      <c r="M249" s="20">
        <f>L249*E249</f>
        <v/>
      </c>
      <c r="N249" s="20" t="n">
        <v>50</v>
      </c>
      <c r="O249" s="20" t="n"/>
      <c r="P249" s="20">
        <f>O249-N249</f>
        <v/>
      </c>
      <c r="Q249" s="20">
        <f>P249*E249</f>
        <v/>
      </c>
      <c r="R249" s="20" t="n"/>
    </row>
    <row r="250" ht="20" customHeight="1" s="1">
      <c r="A250" s="16" t="inlineStr">
        <is>
          <t>11073</t>
        </is>
      </c>
      <c r="B250" s="17" t="inlineStr">
        <is>
          <t>FarmaVita</t>
        </is>
      </c>
      <c r="C250" s="16" t="inlineStr">
        <is>
          <t>8022033007872</t>
        </is>
      </c>
      <c r="D250" s="17" t="inlineStr">
        <is>
          <t>Life color plus 100ml  6.66</t>
        </is>
      </c>
      <c r="E250" s="18" t="n">
        <v>6</v>
      </c>
      <c r="F250" s="18" t="n">
        <v>72</v>
      </c>
      <c r="G250" s="18" t="n">
        <v>0</v>
      </c>
      <c r="H250" s="18" t="n"/>
      <c r="I250" s="18" t="n"/>
      <c r="J250" s="18" t="n"/>
      <c r="K250" s="19">
        <f>H250+I250+J250</f>
        <v/>
      </c>
      <c r="L250" s="19">
        <f>K250-G250</f>
        <v/>
      </c>
      <c r="M250" s="20">
        <f>L250*E250</f>
        <v/>
      </c>
      <c r="N250" s="20" t="n">
        <v>50</v>
      </c>
      <c r="O250" s="20" t="n"/>
      <c r="P250" s="20">
        <f>O250-N250</f>
        <v/>
      </c>
      <c r="Q250" s="20">
        <f>P250*E250</f>
        <v/>
      </c>
      <c r="R250" s="20" t="n"/>
    </row>
    <row r="251" ht="20" customHeight="1" s="1">
      <c r="A251" s="21" t="inlineStr">
        <is>
          <t>19477</t>
        </is>
      </c>
      <c r="B251" s="22" t="inlineStr">
        <is>
          <t>FarmaVita</t>
        </is>
      </c>
      <c r="C251" s="21" t="inlineStr">
        <is>
          <t>8022033108746</t>
        </is>
      </c>
      <c r="D251" s="22" t="inlineStr">
        <is>
          <t>Life color plus 100ml  6.666</t>
        </is>
      </c>
      <c r="E251" s="23" t="n">
        <v>6</v>
      </c>
      <c r="F251" s="23" t="n">
        <v>72</v>
      </c>
      <c r="G251" s="23" t="n">
        <v>31</v>
      </c>
      <c r="H251" s="23" t="n">
        <v>31</v>
      </c>
      <c r="I251" s="23" t="n"/>
      <c r="J251" s="23" t="n"/>
      <c r="K251" s="19">
        <f>H251+I251+J251</f>
        <v/>
      </c>
      <c r="L251" s="19">
        <f>K251-G251</f>
        <v/>
      </c>
      <c r="M251" s="20">
        <f>L251*E251</f>
        <v/>
      </c>
      <c r="N251" s="20" t="n">
        <v>50</v>
      </c>
      <c r="O251" s="20" t="n"/>
      <c r="P251" s="20">
        <f>O251-N251</f>
        <v/>
      </c>
      <c r="Q251" s="20">
        <f>P251*E251</f>
        <v/>
      </c>
      <c r="R251" s="20" t="n"/>
    </row>
    <row r="252" ht="20" customHeight="1" s="1">
      <c r="A252" s="16" t="inlineStr">
        <is>
          <t>10790</t>
        </is>
      </c>
      <c r="B252" s="17" t="inlineStr">
        <is>
          <t>FarmaVita</t>
        </is>
      </c>
      <c r="C252" s="16" t="inlineStr">
        <is>
          <t>8022033008084</t>
        </is>
      </c>
      <c r="D252" s="17" t="inlineStr">
        <is>
          <t>Life color plus 100ml  6.8 (6.7)</t>
        </is>
      </c>
      <c r="E252" s="18" t="n">
        <v>6</v>
      </c>
      <c r="F252" s="18" t="n">
        <v>72</v>
      </c>
      <c r="G252" s="18" t="n">
        <v>19</v>
      </c>
      <c r="H252" s="18" t="n"/>
      <c r="I252" s="18" t="n"/>
      <c r="J252" s="18" t="n"/>
      <c r="K252" s="19" t="n"/>
      <c r="L252" s="19" t="n"/>
      <c r="M252" s="20" t="n"/>
      <c r="N252" s="20" t="n">
        <v>50</v>
      </c>
      <c r="O252" s="20" t="n"/>
      <c r="P252" s="20">
        <f>O252-N252</f>
        <v/>
      </c>
      <c r="Q252" s="20">
        <f>P252*E252</f>
        <v/>
      </c>
      <c r="R252" s="20" t="n"/>
    </row>
    <row r="253" ht="20" customHeight="1" s="1">
      <c r="A253" s="21" t="inlineStr">
        <is>
          <t>19478</t>
        </is>
      </c>
      <c r="B253" s="22" t="inlineStr">
        <is>
          <t>FarmaVita</t>
        </is>
      </c>
      <c r="C253" s="21" t="inlineStr">
        <is>
          <t>8022033108593</t>
        </is>
      </c>
      <c r="D253" s="22" t="inlineStr">
        <is>
          <t>Life color plus 100ml  6.81 (6.71)</t>
        </is>
      </c>
      <c r="E253" s="23" t="n">
        <v>6</v>
      </c>
      <c r="F253" s="23" t="n">
        <v>72</v>
      </c>
      <c r="G253" s="23" t="n">
        <v>63</v>
      </c>
      <c r="H253" s="23" t="n">
        <v>63</v>
      </c>
      <c r="I253" s="23" t="n"/>
      <c r="J253" s="23" t="n"/>
      <c r="K253" s="19">
        <f>H253+I253+J253</f>
        <v/>
      </c>
      <c r="L253" s="19">
        <f>K253-G253</f>
        <v/>
      </c>
      <c r="M253" s="20">
        <f>L253*E253</f>
        <v/>
      </c>
      <c r="N253" s="20" t="n">
        <v>50</v>
      </c>
      <c r="O253" s="20" t="n"/>
      <c r="P253" s="20">
        <f>O253-N253</f>
        <v/>
      </c>
      <c r="Q253" s="20">
        <f>P253*E253</f>
        <v/>
      </c>
      <c r="R253" s="20" t="n"/>
    </row>
    <row r="254" ht="20" customHeight="1" s="1">
      <c r="A254" s="16" t="inlineStr">
        <is>
          <t>10750</t>
        </is>
      </c>
      <c r="B254" s="17" t="inlineStr">
        <is>
          <t>FarmaVita</t>
        </is>
      </c>
      <c r="C254" s="16" t="inlineStr">
        <is>
          <t>8022033008060</t>
        </is>
      </c>
      <c r="D254" s="17" t="inlineStr">
        <is>
          <t>Life color plus 100ml  6.88 (6.77)</t>
        </is>
      </c>
      <c r="E254" s="18" t="n">
        <v>6</v>
      </c>
      <c r="F254" s="18" t="n">
        <v>72</v>
      </c>
      <c r="G254" s="18" t="n">
        <v>72</v>
      </c>
      <c r="H254" s="18" t="n"/>
      <c r="I254" s="18" t="n"/>
      <c r="J254" s="18" t="n"/>
      <c r="K254" s="19" t="n"/>
      <c r="L254" s="19" t="n"/>
      <c r="M254" s="20" t="n"/>
      <c r="N254" s="20" t="n">
        <v>50</v>
      </c>
      <c r="O254" s="20" t="n"/>
      <c r="P254" s="20">
        <f>O254-N254</f>
        <v/>
      </c>
      <c r="Q254" s="20">
        <f>P254*E254</f>
        <v/>
      </c>
      <c r="R254" s="20" t="n"/>
    </row>
    <row r="255" ht="20" customHeight="1" s="1">
      <c r="A255" s="21" t="inlineStr">
        <is>
          <t>10546</t>
        </is>
      </c>
      <c r="B255" s="22" t="inlineStr">
        <is>
          <t>FarmaVita</t>
        </is>
      </c>
      <c r="C255" s="21" t="inlineStr">
        <is>
          <t>8022033007063</t>
        </is>
      </c>
      <c r="D255" s="22" t="inlineStr">
        <is>
          <t>Life color plus 100ml  7.0</t>
        </is>
      </c>
      <c r="E255" s="23" t="n">
        <v>6</v>
      </c>
      <c r="F255" s="23" t="n">
        <v>72</v>
      </c>
      <c r="G255" s="23" t="n">
        <v>294</v>
      </c>
      <c r="H255" s="23" t="n"/>
      <c r="I255" s="23" t="n"/>
      <c r="J255" s="23" t="n"/>
      <c r="K255" s="19" t="n"/>
      <c r="L255" s="19" t="n"/>
      <c r="M255" s="20" t="n"/>
      <c r="N255" s="20" t="n">
        <v>50</v>
      </c>
      <c r="O255" s="20" t="n">
        <v>5</v>
      </c>
      <c r="P255" s="20">
        <f>O255-N255</f>
        <v/>
      </c>
      <c r="Q255" s="20">
        <f>P255*E255</f>
        <v/>
      </c>
      <c r="R255" s="20" t="inlineStr">
        <is>
          <t>Orxan</t>
        </is>
      </c>
    </row>
    <row r="256" ht="20" customHeight="1" s="1">
      <c r="A256" s="16" t="inlineStr">
        <is>
          <t>10527</t>
        </is>
      </c>
      <c r="B256" s="17" t="inlineStr">
        <is>
          <t>FarmaVita</t>
        </is>
      </c>
      <c r="C256" s="16" t="inlineStr">
        <is>
          <t>8022033007131</t>
        </is>
      </c>
      <c r="D256" s="17" t="inlineStr">
        <is>
          <t>Life color plus 100ml  7.00</t>
        </is>
      </c>
      <c r="E256" s="18" t="n">
        <v>6</v>
      </c>
      <c r="F256" s="18" t="n">
        <v>72</v>
      </c>
      <c r="G256" s="18" t="n">
        <v>268</v>
      </c>
      <c r="H256" s="18" t="n">
        <v>52</v>
      </c>
      <c r="I256" s="18" t="n">
        <v>216</v>
      </c>
      <c r="J256" s="18" t="n"/>
      <c r="K256" s="19">
        <f>H256+I256+J256</f>
        <v/>
      </c>
      <c r="L256" s="19">
        <f>K256-G256</f>
        <v/>
      </c>
      <c r="M256" s="20">
        <f>L256*E256</f>
        <v/>
      </c>
      <c r="N256" s="20" t="n">
        <v>50</v>
      </c>
      <c r="O256" s="20" t="n"/>
      <c r="P256" s="20">
        <f>O256-N256</f>
        <v/>
      </c>
      <c r="Q256" s="20">
        <f>P256*E256</f>
        <v/>
      </c>
      <c r="R256" s="20" t="n"/>
    </row>
    <row r="257" ht="20" customHeight="1" s="1">
      <c r="A257" s="21" t="inlineStr">
        <is>
          <t>10686</t>
        </is>
      </c>
      <c r="B257" s="22" t="inlineStr">
        <is>
          <t>FarmaVita</t>
        </is>
      </c>
      <c r="C257" s="21" t="inlineStr">
        <is>
          <t>8022033007186</t>
        </is>
      </c>
      <c r="D257" s="22" t="inlineStr">
        <is>
          <t>Life color plus 100ml  7.03</t>
        </is>
      </c>
      <c r="E257" s="23" t="n">
        <v>6</v>
      </c>
      <c r="F257" s="23" t="n">
        <v>72</v>
      </c>
      <c r="G257" s="23" t="n">
        <v>57</v>
      </c>
      <c r="H257" s="23" t="n"/>
      <c r="I257" s="23" t="n"/>
      <c r="J257" s="23" t="n"/>
      <c r="K257" s="19" t="n"/>
      <c r="L257" s="19" t="n"/>
      <c r="M257" s="20" t="n"/>
      <c r="N257" s="20" t="n">
        <v>50</v>
      </c>
      <c r="O257" s="20" t="n"/>
      <c r="P257" s="20">
        <f>O257-N257</f>
        <v/>
      </c>
      <c r="Q257" s="20">
        <f>P257*E257</f>
        <v/>
      </c>
      <c r="R257" s="20" t="n"/>
    </row>
    <row r="258" ht="20" customHeight="1" s="1">
      <c r="A258" s="16" t="inlineStr">
        <is>
          <t>10722</t>
        </is>
      </c>
      <c r="B258" s="17" t="inlineStr">
        <is>
          <t>FarmaVita</t>
        </is>
      </c>
      <c r="C258" s="16" t="inlineStr">
        <is>
          <t>8022033007223</t>
        </is>
      </c>
      <c r="D258" s="17" t="inlineStr">
        <is>
          <t>Life color plus 100ml  7.07</t>
        </is>
      </c>
      <c r="E258" s="18" t="n">
        <v>6</v>
      </c>
      <c r="F258" s="18" t="n">
        <v>72</v>
      </c>
      <c r="G258" s="18" t="n">
        <v>121</v>
      </c>
      <c r="H258" s="18" t="n"/>
      <c r="I258" s="18" t="n"/>
      <c r="J258" s="18" t="n"/>
      <c r="K258" s="19" t="n"/>
      <c r="L258" s="19" t="n"/>
      <c r="M258" s="20" t="n"/>
      <c r="N258" s="20" t="n">
        <v>50</v>
      </c>
      <c r="O258" s="20" t="n"/>
      <c r="P258" s="20">
        <f>O258-N258</f>
        <v/>
      </c>
      <c r="Q258" s="20">
        <f>P258*E258</f>
        <v/>
      </c>
      <c r="R258" s="20" t="n"/>
    </row>
    <row r="259" ht="20" customHeight="1" s="1">
      <c r="A259" s="21" t="inlineStr">
        <is>
          <t>10392</t>
        </is>
      </c>
      <c r="B259" s="22" t="inlineStr">
        <is>
          <t>FarmaVita</t>
        </is>
      </c>
      <c r="C259" s="21" t="inlineStr">
        <is>
          <t>8022033007292</t>
        </is>
      </c>
      <c r="D259" s="22" t="inlineStr">
        <is>
          <t>Life color plus 100ml  7.1</t>
        </is>
      </c>
      <c r="E259" s="23" t="n">
        <v>6</v>
      </c>
      <c r="F259" s="23" t="n">
        <v>72</v>
      </c>
      <c r="G259" s="23" t="n">
        <v>807</v>
      </c>
      <c r="H259" s="23" t="n"/>
      <c r="I259" s="23" t="n"/>
      <c r="J259" s="23" t="n"/>
      <c r="K259" s="19" t="n"/>
      <c r="L259" s="19" t="n"/>
      <c r="M259" s="20" t="n"/>
      <c r="N259" s="20" t="n">
        <v>50</v>
      </c>
      <c r="O259" s="20" t="n">
        <v>50</v>
      </c>
      <c r="P259" s="20">
        <f>O259-N259</f>
        <v/>
      </c>
      <c r="Q259" s="20">
        <f>P259*E259</f>
        <v/>
      </c>
      <c r="R259" s="20" t="inlineStr">
        <is>
          <t>Perviz</t>
        </is>
      </c>
    </row>
    <row r="260" ht="20" customHeight="1" s="1">
      <c r="A260" s="16" t="inlineStr">
        <is>
          <t>17304</t>
        </is>
      </c>
      <c r="B260" s="17" t="inlineStr">
        <is>
          <t>FarmaVita</t>
        </is>
      </c>
      <c r="C260" s="16" t="inlineStr">
        <is>
          <t>8022033107541</t>
        </is>
      </c>
      <c r="D260" s="17" t="inlineStr">
        <is>
          <t>Life color plus 100ml  7.11</t>
        </is>
      </c>
      <c r="E260" s="18" t="n">
        <v>6</v>
      </c>
      <c r="F260" s="18" t="n">
        <v>72</v>
      </c>
      <c r="G260" s="18" t="n">
        <v>219</v>
      </c>
      <c r="H260" s="18" t="n"/>
      <c r="I260" s="18" t="n"/>
      <c r="J260" s="18" t="n"/>
      <c r="K260" s="19" t="n"/>
      <c r="L260" s="19" t="n"/>
      <c r="M260" s="20" t="n"/>
      <c r="N260" s="20" t="n">
        <v>50</v>
      </c>
      <c r="O260" s="20" t="n">
        <v>58</v>
      </c>
      <c r="P260" s="20">
        <f>O260-N260</f>
        <v/>
      </c>
      <c r="Q260" s="20">
        <f>P260*E260</f>
        <v/>
      </c>
      <c r="R260" s="20" t="inlineStr">
        <is>
          <t>Orxan</t>
        </is>
      </c>
    </row>
    <row r="261" ht="20" customHeight="1" s="1">
      <c r="A261" s="21" t="inlineStr">
        <is>
          <t>11098</t>
        </is>
      </c>
      <c r="B261" s="22" t="inlineStr">
        <is>
          <t>FarmaVita</t>
        </is>
      </c>
      <c r="C261" s="21" t="inlineStr">
        <is>
          <t>8022033007568</t>
        </is>
      </c>
      <c r="D261" s="22" t="inlineStr">
        <is>
          <t>Life color plus 100ml  7.13</t>
        </is>
      </c>
      <c r="E261" s="23" t="n">
        <v>6</v>
      </c>
      <c r="F261" s="23" t="n">
        <v>72</v>
      </c>
      <c r="G261" s="23" t="n">
        <v>27</v>
      </c>
      <c r="H261" s="23" t="n">
        <v>26</v>
      </c>
      <c r="I261" s="23" t="n">
        <v>1</v>
      </c>
      <c r="J261" s="23" t="n"/>
      <c r="K261" s="19">
        <f>H261+I261+J261</f>
        <v/>
      </c>
      <c r="L261" s="19">
        <f>K261-G261</f>
        <v/>
      </c>
      <c r="M261" s="20">
        <f>L261*E261</f>
        <v/>
      </c>
      <c r="N261" s="20" t="n">
        <v>50</v>
      </c>
      <c r="O261" s="20" t="n"/>
      <c r="P261" s="20">
        <f>O261-N261</f>
        <v/>
      </c>
      <c r="Q261" s="20">
        <f>P261*E261</f>
        <v/>
      </c>
      <c r="R261" s="20" t="n"/>
    </row>
    <row r="262" ht="20" customHeight="1" s="1">
      <c r="A262" s="16" t="inlineStr">
        <is>
          <t>10895</t>
        </is>
      </c>
      <c r="B262" s="17" t="inlineStr">
        <is>
          <t>FarmaVita</t>
        </is>
      </c>
      <c r="C262" s="16" t="inlineStr">
        <is>
          <t>8022033007360</t>
        </is>
      </c>
      <c r="D262" s="17" t="inlineStr">
        <is>
          <t>Life color plus 100ml  7.3</t>
        </is>
      </c>
      <c r="E262" s="18" t="n">
        <v>6</v>
      </c>
      <c r="F262" s="18" t="n">
        <v>72</v>
      </c>
      <c r="G262" s="18" t="n">
        <v>57</v>
      </c>
      <c r="H262" s="18" t="n"/>
      <c r="I262" s="18" t="n"/>
      <c r="J262" s="18" t="n"/>
      <c r="K262" s="19" t="n"/>
      <c r="L262" s="19" t="n"/>
      <c r="M262" s="20" t="n"/>
      <c r="N262" s="20" t="n">
        <v>50</v>
      </c>
      <c r="O262" s="20" t="n"/>
      <c r="P262" s="20">
        <f>O262-N262</f>
        <v/>
      </c>
      <c r="Q262" s="20">
        <f>P262*E262</f>
        <v/>
      </c>
      <c r="R262" s="20" t="n"/>
    </row>
    <row r="263" ht="20" customHeight="1" s="1">
      <c r="A263" s="21" t="inlineStr">
        <is>
          <t>10846</t>
        </is>
      </c>
      <c r="B263" s="22" t="inlineStr">
        <is>
          <t>FarmaVita</t>
        </is>
      </c>
      <c r="C263" s="21" t="inlineStr">
        <is>
          <t>8022033007469</t>
        </is>
      </c>
      <c r="D263" s="22" t="inlineStr">
        <is>
          <t>Life color plus 100ml  7.31</t>
        </is>
      </c>
      <c r="E263" s="23" t="n">
        <v>6</v>
      </c>
      <c r="F263" s="23" t="n">
        <v>72</v>
      </c>
      <c r="G263" s="23" t="n">
        <v>31</v>
      </c>
      <c r="H263" s="23" t="n">
        <v>31</v>
      </c>
      <c r="I263" s="23" t="n"/>
      <c r="J263" s="23" t="n"/>
      <c r="K263" s="19">
        <f>H263+I263+J263</f>
        <v/>
      </c>
      <c r="L263" s="19">
        <f>K263-G263</f>
        <v/>
      </c>
      <c r="M263" s="20">
        <f>L263*E263</f>
        <v/>
      </c>
      <c r="N263" s="20" t="n">
        <v>50</v>
      </c>
      <c r="O263" s="20" t="n"/>
      <c r="P263" s="20">
        <f>O263-N263</f>
        <v/>
      </c>
      <c r="Q263" s="20">
        <f>P263*E263</f>
        <v/>
      </c>
      <c r="R263" s="20" t="n"/>
    </row>
    <row r="264" ht="20" customHeight="1" s="1">
      <c r="A264" s="16" t="inlineStr">
        <is>
          <t>10733</t>
        </is>
      </c>
      <c r="B264" s="17" t="inlineStr">
        <is>
          <t>FarmaVita</t>
        </is>
      </c>
      <c r="C264" s="16" t="inlineStr">
        <is>
          <t>8022033007483</t>
        </is>
      </c>
      <c r="D264" s="17" t="inlineStr">
        <is>
          <t>Life color plus 100ml  7.32</t>
        </is>
      </c>
      <c r="E264" s="18" t="n">
        <v>6</v>
      </c>
      <c r="F264" s="18" t="n">
        <v>72</v>
      </c>
      <c r="G264" s="18" t="n">
        <v>54</v>
      </c>
      <c r="H264" s="18" t="n">
        <v>54</v>
      </c>
      <c r="I264" s="18" t="n"/>
      <c r="J264" s="18" t="n"/>
      <c r="K264" s="19">
        <f>H264+I264+J264</f>
        <v/>
      </c>
      <c r="L264" s="19">
        <f>K264-G264</f>
        <v/>
      </c>
      <c r="M264" s="20">
        <f>L264*E264</f>
        <v/>
      </c>
      <c r="N264" s="20" t="n">
        <v>50</v>
      </c>
      <c r="O264" s="20" t="n"/>
      <c r="P264" s="20">
        <f>O264-N264</f>
        <v/>
      </c>
      <c r="Q264" s="20">
        <f>P264*E264</f>
        <v/>
      </c>
      <c r="R264" s="20" t="n"/>
    </row>
    <row r="265" ht="20" customHeight="1" s="1">
      <c r="A265" s="21" t="inlineStr">
        <is>
          <t>11433</t>
        </is>
      </c>
      <c r="B265" s="22" t="inlineStr">
        <is>
          <t>FarmaVita</t>
        </is>
      </c>
      <c r="C265" s="21" t="inlineStr">
        <is>
          <t>8022033007391</t>
        </is>
      </c>
      <c r="D265" s="22" t="inlineStr">
        <is>
          <t>Life color plus 100ml  7.33</t>
        </is>
      </c>
      <c r="E265" s="23" t="n">
        <v>6</v>
      </c>
      <c r="F265" s="23" t="n">
        <v>72</v>
      </c>
      <c r="G265" s="23" t="n">
        <v>8</v>
      </c>
      <c r="H265" s="23" t="n">
        <v>8</v>
      </c>
      <c r="I265" s="23" t="n"/>
      <c r="J265" s="23" t="n"/>
      <c r="K265" s="19">
        <f>H265+I265+J265</f>
        <v/>
      </c>
      <c r="L265" s="19">
        <f>K265-G265</f>
        <v/>
      </c>
      <c r="M265" s="20">
        <f>L265*E265</f>
        <v/>
      </c>
      <c r="N265" s="20" t="n">
        <v>50</v>
      </c>
      <c r="O265" s="20" t="n"/>
      <c r="P265" s="20">
        <f>O265-N265</f>
        <v/>
      </c>
      <c r="Q265" s="20">
        <f>P265*E265</f>
        <v/>
      </c>
      <c r="R265" s="20" t="n"/>
    </row>
    <row r="266" ht="20" customHeight="1" s="1">
      <c r="A266" s="16" t="inlineStr">
        <is>
          <t>11097</t>
        </is>
      </c>
      <c r="B266" s="17" t="inlineStr">
        <is>
          <t>FarmaVita</t>
        </is>
      </c>
      <c r="C266" s="16" t="inlineStr">
        <is>
          <t>8022033007704</t>
        </is>
      </c>
      <c r="D266" s="17" t="inlineStr">
        <is>
          <t>Life color plus 100ml  7.4</t>
        </is>
      </c>
      <c r="E266" s="18" t="n">
        <v>6</v>
      </c>
      <c r="F266" s="18" t="n">
        <v>72</v>
      </c>
      <c r="G266" s="18" t="n">
        <v>30</v>
      </c>
      <c r="H266" s="18" t="n">
        <v>30</v>
      </c>
      <c r="I266" s="18" t="n"/>
      <c r="J266" s="18" t="n"/>
      <c r="K266" s="19">
        <f>H266+I266+J266</f>
        <v/>
      </c>
      <c r="L266" s="19">
        <f>K266-G266</f>
        <v/>
      </c>
      <c r="M266" s="20">
        <f>L266*E266</f>
        <v/>
      </c>
      <c r="N266" s="20" t="n">
        <v>50</v>
      </c>
      <c r="O266" s="20" t="n"/>
      <c r="P266" s="20">
        <f>O266-N266</f>
        <v/>
      </c>
      <c r="Q266" s="20">
        <f>P266*E266</f>
        <v/>
      </c>
      <c r="R266" s="20" t="n"/>
    </row>
    <row r="267" ht="20" customHeight="1" s="1">
      <c r="A267" s="21" t="inlineStr">
        <is>
          <t>11157</t>
        </is>
      </c>
      <c r="B267" s="22" t="inlineStr">
        <is>
          <t>FarmaVita</t>
        </is>
      </c>
      <c r="C267" s="21" t="inlineStr">
        <is>
          <t>8022033007759</t>
        </is>
      </c>
      <c r="D267" s="22" t="inlineStr">
        <is>
          <t>Life color plus 100ml  7.43</t>
        </is>
      </c>
      <c r="E267" s="23" t="n">
        <v>6</v>
      </c>
      <c r="F267" s="23" t="n">
        <v>72</v>
      </c>
      <c r="G267" s="23" t="n">
        <v>27</v>
      </c>
      <c r="H267" s="23" t="n">
        <v>25</v>
      </c>
      <c r="I267" s="23" t="n">
        <v>2</v>
      </c>
      <c r="J267" s="23" t="n"/>
      <c r="K267" s="19">
        <f>H267+I267+J267</f>
        <v/>
      </c>
      <c r="L267" s="19">
        <f>K267-G267</f>
        <v/>
      </c>
      <c r="M267" s="20">
        <f>L267*E267</f>
        <v/>
      </c>
      <c r="N267" s="20" t="n">
        <v>50</v>
      </c>
      <c r="O267" s="20" t="n"/>
      <c r="P267" s="20">
        <f>O267-N267</f>
        <v/>
      </c>
      <c r="Q267" s="20">
        <f>P267*E267</f>
        <v/>
      </c>
      <c r="R267" s="20" t="n"/>
    </row>
    <row r="268" ht="20" customHeight="1" s="1">
      <c r="A268" s="16" t="inlineStr">
        <is>
          <t>10749</t>
        </is>
      </c>
      <c r="B268" s="17" t="inlineStr">
        <is>
          <t>FarmaVita</t>
        </is>
      </c>
      <c r="C268" s="16" t="inlineStr">
        <is>
          <t>8022033007728</t>
        </is>
      </c>
      <c r="D268" s="17" t="inlineStr">
        <is>
          <t>Life color plus 100ml  7.44</t>
        </is>
      </c>
      <c r="E268" s="18" t="n">
        <v>6</v>
      </c>
      <c r="F268" s="18" t="n">
        <v>72</v>
      </c>
      <c r="G268" s="18" t="n">
        <v>26</v>
      </c>
      <c r="H268" s="18" t="n">
        <v>25</v>
      </c>
      <c r="I268" s="18" t="n">
        <v>1</v>
      </c>
      <c r="J268" s="18" t="n"/>
      <c r="K268" s="19">
        <f>H268+I268+J268</f>
        <v/>
      </c>
      <c r="L268" s="19">
        <f>K268-G268</f>
        <v/>
      </c>
      <c r="M268" s="20">
        <f>L268*E268</f>
        <v/>
      </c>
      <c r="N268" s="20" t="n">
        <v>50</v>
      </c>
      <c r="O268" s="20" t="n"/>
      <c r="P268" s="20">
        <f>O268-N268</f>
        <v/>
      </c>
      <c r="Q268" s="20">
        <f>P268*E268</f>
        <v/>
      </c>
      <c r="R268" s="20" t="n"/>
    </row>
    <row r="269" ht="20" customHeight="1" s="1">
      <c r="A269" s="21" t="inlineStr">
        <is>
          <t>10723</t>
        </is>
      </c>
      <c r="B269" s="22" t="inlineStr">
        <is>
          <t>FarmaVita</t>
        </is>
      </c>
      <c r="C269" s="21" t="inlineStr">
        <is>
          <t>8022033007773</t>
        </is>
      </c>
      <c r="D269" s="22" t="inlineStr">
        <is>
          <t>Life color plus 100ml  7.45</t>
        </is>
      </c>
      <c r="E269" s="23" t="n">
        <v>6</v>
      </c>
      <c r="F269" s="23" t="n">
        <v>72</v>
      </c>
      <c r="G269" s="23" t="n">
        <v>17</v>
      </c>
      <c r="H269" s="23" t="n">
        <v>17</v>
      </c>
      <c r="I269" s="23" t="n"/>
      <c r="J269" s="23" t="n"/>
      <c r="K269" s="19">
        <f>H269+I269+J269</f>
        <v/>
      </c>
      <c r="L269" s="19">
        <f>K269-G269</f>
        <v/>
      </c>
      <c r="M269" s="20">
        <f>L269*E269</f>
        <v/>
      </c>
      <c r="N269" s="20" t="n">
        <v>50</v>
      </c>
      <c r="O269" s="20" t="n"/>
      <c r="P269" s="20">
        <f>O269-N269</f>
        <v/>
      </c>
      <c r="Q269" s="20">
        <f>P269*E269</f>
        <v/>
      </c>
      <c r="R269" s="20" t="n"/>
    </row>
    <row r="270" ht="20" customHeight="1" s="1">
      <c r="A270" s="16" t="inlineStr">
        <is>
          <t>10766</t>
        </is>
      </c>
      <c r="B270" s="17" t="inlineStr">
        <is>
          <t>FarmaVita</t>
        </is>
      </c>
      <c r="C270" s="16" t="inlineStr">
        <is>
          <t>8022033007803</t>
        </is>
      </c>
      <c r="D270" s="17" t="inlineStr">
        <is>
          <t>Life color plus 100ml  7.46</t>
        </is>
      </c>
      <c r="E270" s="18" t="n">
        <v>6</v>
      </c>
      <c r="F270" s="18" t="n">
        <v>72</v>
      </c>
      <c r="G270" s="18" t="n">
        <v>45</v>
      </c>
      <c r="H270" s="18" t="n">
        <v>45</v>
      </c>
      <c r="I270" s="18" t="n"/>
      <c r="J270" s="18" t="n"/>
      <c r="K270" s="19">
        <f>H270+I270+J270</f>
        <v/>
      </c>
      <c r="L270" s="19">
        <f>K270-G270</f>
        <v/>
      </c>
      <c r="M270" s="20">
        <f>L270*E270</f>
        <v/>
      </c>
      <c r="N270" s="20" t="n">
        <v>50</v>
      </c>
      <c r="O270" s="20" t="n"/>
      <c r="P270" s="20">
        <f>O270-N270</f>
        <v/>
      </c>
      <c r="Q270" s="20">
        <f>P270*E270</f>
        <v/>
      </c>
      <c r="R270" s="20" t="n"/>
    </row>
    <row r="271" ht="20" customHeight="1" s="1">
      <c r="A271" s="21" t="inlineStr">
        <is>
          <t>11004</t>
        </is>
      </c>
      <c r="B271" s="22" t="inlineStr">
        <is>
          <t>FarmaVita</t>
        </is>
      </c>
      <c r="C271" s="21" t="inlineStr">
        <is>
          <t>8022033007834</t>
        </is>
      </c>
      <c r="D271" s="22" t="inlineStr">
        <is>
          <t>Life color plus 100ml  7.62</t>
        </is>
      </c>
      <c r="E271" s="23" t="n">
        <v>6</v>
      </c>
      <c r="F271" s="23" t="n">
        <v>72</v>
      </c>
      <c r="G271" s="23" t="n">
        <v>36</v>
      </c>
      <c r="H271" s="23" t="n"/>
      <c r="I271" s="23" t="n"/>
      <c r="J271" s="23" t="n"/>
      <c r="K271" s="19" t="n"/>
      <c r="L271" s="19" t="n"/>
      <c r="M271" s="20" t="n"/>
      <c r="N271" s="20" t="n">
        <v>50</v>
      </c>
      <c r="O271" s="20" t="n"/>
      <c r="P271" s="20">
        <f>O271-N271</f>
        <v/>
      </c>
      <c r="Q271" s="20">
        <f>P271*E271</f>
        <v/>
      </c>
      <c r="R271" s="20" t="n"/>
    </row>
    <row r="272" ht="20" customHeight="1" s="1">
      <c r="A272" s="16" t="inlineStr">
        <is>
          <t>10886</t>
        </is>
      </c>
      <c r="B272" s="17" t="inlineStr">
        <is>
          <t>FarmaVita</t>
        </is>
      </c>
      <c r="C272" s="16" t="inlineStr">
        <is>
          <t>8022033007865</t>
        </is>
      </c>
      <c r="D272" s="17" t="inlineStr">
        <is>
          <t>Life color plus 100ml  7.64</t>
        </is>
      </c>
      <c r="E272" s="18" t="n">
        <v>6</v>
      </c>
      <c r="F272" s="18" t="n">
        <v>72</v>
      </c>
      <c r="G272" s="18" t="n">
        <v>12</v>
      </c>
      <c r="H272" s="18" t="n">
        <v>12</v>
      </c>
      <c r="I272" s="18" t="n"/>
      <c r="J272" s="18" t="n"/>
      <c r="K272" s="19">
        <f>H272+I272+J272</f>
        <v/>
      </c>
      <c r="L272" s="19">
        <f>K272-G272</f>
        <v/>
      </c>
      <c r="M272" s="20">
        <f>L272*E272</f>
        <v/>
      </c>
      <c r="N272" s="20" t="n">
        <v>50</v>
      </c>
      <c r="O272" s="20" t="n"/>
      <c r="P272" s="20">
        <f>O272-N272</f>
        <v/>
      </c>
      <c r="Q272" s="20">
        <f>P272*E272</f>
        <v/>
      </c>
      <c r="R272" s="20" t="n"/>
    </row>
    <row r="273" ht="20" customHeight="1" s="1">
      <c r="A273" s="21" t="inlineStr">
        <is>
          <t>10820</t>
        </is>
      </c>
      <c r="B273" s="22" t="inlineStr">
        <is>
          <t>FarmaVita</t>
        </is>
      </c>
      <c r="C273" s="21" t="inlineStr">
        <is>
          <t>8022033007889</t>
        </is>
      </c>
      <c r="D273" s="22" t="inlineStr">
        <is>
          <t>Life color plus 100ml  7.66</t>
        </is>
      </c>
      <c r="E273" s="23" t="n">
        <v>6</v>
      </c>
      <c r="F273" s="23" t="n">
        <v>72</v>
      </c>
      <c r="G273" s="23" t="n">
        <v>11</v>
      </c>
      <c r="H273" s="23" t="n">
        <v>11</v>
      </c>
      <c r="I273" s="23" t="n"/>
      <c r="J273" s="23" t="n"/>
      <c r="K273" s="19">
        <f>H273+I273+J273</f>
        <v/>
      </c>
      <c r="L273" s="19">
        <f>K273-G273</f>
        <v/>
      </c>
      <c r="M273" s="20">
        <f>L273*E273</f>
        <v/>
      </c>
      <c r="N273" s="20" t="n">
        <v>50</v>
      </c>
      <c r="O273" s="20" t="n"/>
      <c r="P273" s="20">
        <f>O273-N273</f>
        <v/>
      </c>
      <c r="Q273" s="20">
        <f>P273*E273</f>
        <v/>
      </c>
      <c r="R273" s="20" t="n"/>
    </row>
    <row r="274" ht="20" customHeight="1" s="1">
      <c r="A274" s="16" t="inlineStr">
        <is>
          <t>11122</t>
        </is>
      </c>
      <c r="B274" s="17" t="inlineStr">
        <is>
          <t>FarmaVita</t>
        </is>
      </c>
      <c r="C274" s="16" t="inlineStr">
        <is>
          <t>8022033008091</t>
        </is>
      </c>
      <c r="D274" s="17" t="inlineStr">
        <is>
          <t>Life color plus 100ml  7.8 (7.7)</t>
        </is>
      </c>
      <c r="E274" s="18" t="n">
        <v>6</v>
      </c>
      <c r="F274" s="18" t="n">
        <v>72</v>
      </c>
      <c r="G274" s="18" t="n">
        <v>84</v>
      </c>
      <c r="H274" s="18" t="n"/>
      <c r="I274" s="18" t="n"/>
      <c r="J274" s="18" t="n"/>
      <c r="K274" s="19" t="n"/>
      <c r="L274" s="19" t="n"/>
      <c r="M274" s="20" t="n"/>
      <c r="N274" s="20" t="n">
        <v>50</v>
      </c>
      <c r="O274" s="20" t="n"/>
      <c r="P274" s="20">
        <f>O274-N274</f>
        <v/>
      </c>
      <c r="Q274" s="20">
        <f>P274*E274</f>
        <v/>
      </c>
      <c r="R274" s="20" t="n"/>
    </row>
    <row r="275" ht="20" customHeight="1" s="1">
      <c r="A275" s="21" t="inlineStr">
        <is>
          <t>19479</t>
        </is>
      </c>
      <c r="B275" s="22" t="inlineStr">
        <is>
          <t>FarmaVita</t>
        </is>
      </c>
      <c r="C275" s="21" t="inlineStr">
        <is>
          <t>8022033108609</t>
        </is>
      </c>
      <c r="D275" s="22" t="inlineStr">
        <is>
          <t>Life color plus 100ml  7.81 (7.71)</t>
        </is>
      </c>
      <c r="E275" s="23" t="n">
        <v>6</v>
      </c>
      <c r="F275" s="23" t="n">
        <v>72</v>
      </c>
      <c r="G275" s="23" t="n">
        <v>26</v>
      </c>
      <c r="H275" s="23" t="n">
        <v>26</v>
      </c>
      <c r="I275" s="23" t="n"/>
      <c r="J275" s="23" t="n"/>
      <c r="K275" s="19">
        <f>H275+I275+J275</f>
        <v/>
      </c>
      <c r="L275" s="19">
        <f>K275-G275</f>
        <v/>
      </c>
      <c r="M275" s="20">
        <f>L275*E275</f>
        <v/>
      </c>
      <c r="N275" s="20" t="n">
        <v>50</v>
      </c>
      <c r="O275" s="20" t="n"/>
      <c r="P275" s="20">
        <f>O275-N275</f>
        <v/>
      </c>
      <c r="Q275" s="20">
        <f>P275*E275</f>
        <v/>
      </c>
      <c r="R275" s="20" t="n"/>
    </row>
    <row r="276" ht="20" customHeight="1" s="1">
      <c r="A276" s="16" t="inlineStr">
        <is>
          <t>10712</t>
        </is>
      </c>
      <c r="B276" s="17" t="inlineStr">
        <is>
          <t>FarmaVita</t>
        </is>
      </c>
      <c r="C276" s="16" t="inlineStr">
        <is>
          <t>8022033102119</t>
        </is>
      </c>
      <c r="D276" s="17" t="inlineStr">
        <is>
          <t>Life color plus 100ml 7.82 (7.72)</t>
        </is>
      </c>
      <c r="E276" s="18" t="n">
        <v>6</v>
      </c>
      <c r="F276" s="18" t="n">
        <v>72</v>
      </c>
      <c r="G276" s="18" t="n">
        <v>53</v>
      </c>
      <c r="H276" s="18" t="n">
        <v>53</v>
      </c>
      <c r="I276" s="18" t="n"/>
      <c r="J276" s="18" t="n"/>
      <c r="K276" s="19">
        <f>H276+I276+J276</f>
        <v/>
      </c>
      <c r="L276" s="19">
        <f>K276-G276</f>
        <v/>
      </c>
      <c r="M276" s="20">
        <f>L276*E276</f>
        <v/>
      </c>
      <c r="N276" s="20" t="n">
        <v>50</v>
      </c>
      <c r="O276" s="20" t="n"/>
      <c r="P276" s="20">
        <f>O276-N276</f>
        <v/>
      </c>
      <c r="Q276" s="20">
        <f>P276*E276</f>
        <v/>
      </c>
      <c r="R276" s="20" t="n"/>
    </row>
    <row r="277" ht="20" customHeight="1" s="1">
      <c r="A277" s="21" t="inlineStr">
        <is>
          <t>11453</t>
        </is>
      </c>
      <c r="B277" s="22" t="inlineStr">
        <is>
          <t>FarmaVita</t>
        </is>
      </c>
      <c r="C277" s="21" t="inlineStr">
        <is>
          <t>8022033006912</t>
        </is>
      </c>
      <c r="D277" s="22" t="inlineStr">
        <is>
          <t>Life color plus 100ml 7.88 (7.77)</t>
        </is>
      </c>
      <c r="E277" s="23" t="n">
        <v>6</v>
      </c>
      <c r="F277" s="23" t="n">
        <v>72</v>
      </c>
      <c r="G277" s="23" t="n">
        <v>74</v>
      </c>
      <c r="H277" s="23" t="n"/>
      <c r="I277" s="23" t="n"/>
      <c r="J277" s="23" t="n"/>
      <c r="K277" s="19" t="n"/>
      <c r="L277" s="19" t="n"/>
      <c r="M277" s="20" t="n"/>
      <c r="N277" s="20" t="n">
        <v>50</v>
      </c>
      <c r="O277" s="20" t="n"/>
      <c r="P277" s="20">
        <f>O277-N277</f>
        <v/>
      </c>
      <c r="Q277" s="20">
        <f>P277*E277</f>
        <v/>
      </c>
      <c r="R277" s="20" t="n"/>
    </row>
    <row r="278" ht="20" customHeight="1" s="1">
      <c r="A278" s="16" t="inlineStr">
        <is>
          <t>10652</t>
        </is>
      </c>
      <c r="B278" s="17" t="inlineStr">
        <is>
          <t>FarmaVita</t>
        </is>
      </c>
      <c r="C278" s="16" t="inlineStr">
        <is>
          <t>8022033007070</t>
        </is>
      </c>
      <c r="D278" s="17" t="inlineStr">
        <is>
          <t>Life color plus 100ml  8.0</t>
        </is>
      </c>
      <c r="E278" s="18" t="n">
        <v>6</v>
      </c>
      <c r="F278" s="18" t="n">
        <v>72</v>
      </c>
      <c r="G278" s="18" t="n">
        <v>255</v>
      </c>
      <c r="H278" s="18" t="n"/>
      <c r="I278" s="18" t="n"/>
      <c r="J278" s="18" t="n"/>
      <c r="K278" s="19" t="n"/>
      <c r="L278" s="19" t="n"/>
      <c r="M278" s="20" t="n"/>
      <c r="N278" s="20" t="n">
        <v>50</v>
      </c>
      <c r="O278" s="20" t="n">
        <v>10</v>
      </c>
      <c r="P278" s="20">
        <f>O278-N278</f>
        <v/>
      </c>
      <c r="Q278" s="20">
        <f>P278*E278</f>
        <v/>
      </c>
      <c r="R278" s="20" t="inlineStr">
        <is>
          <t>Orxan</t>
        </is>
      </c>
    </row>
    <row r="279" ht="20" customHeight="1" s="1">
      <c r="A279" s="21" t="inlineStr">
        <is>
          <t>10703</t>
        </is>
      </c>
      <c r="B279" s="22" t="inlineStr">
        <is>
          <t>FarmaVita</t>
        </is>
      </c>
      <c r="C279" s="21" t="inlineStr">
        <is>
          <t>8022033007148</t>
        </is>
      </c>
      <c r="D279" s="22" t="inlineStr">
        <is>
          <t>Life color plus 100ml  8.00</t>
        </is>
      </c>
      <c r="E279" s="23" t="n">
        <v>6</v>
      </c>
      <c r="F279" s="23" t="n">
        <v>72</v>
      </c>
      <c r="G279" s="23" t="n">
        <v>301</v>
      </c>
      <c r="H279" s="23" t="n"/>
      <c r="I279" s="23" t="n"/>
      <c r="J279" s="23" t="n"/>
      <c r="K279" s="19" t="n"/>
      <c r="L279" s="19" t="n"/>
      <c r="M279" s="20" t="n"/>
      <c r="N279" s="20" t="n">
        <v>50</v>
      </c>
      <c r="O279" s="20" t="n"/>
      <c r="P279" s="20">
        <f>O279-N279</f>
        <v/>
      </c>
      <c r="Q279" s="20">
        <f>P279*E279</f>
        <v/>
      </c>
      <c r="R279" s="20" t="n"/>
    </row>
    <row r="280" ht="20" customHeight="1" s="1">
      <c r="A280" s="16" t="inlineStr">
        <is>
          <t>10520</t>
        </is>
      </c>
      <c r="B280" s="17" t="inlineStr">
        <is>
          <t>FarmaVita</t>
        </is>
      </c>
      <c r="C280" s="16" t="inlineStr">
        <is>
          <t>8022033007193</t>
        </is>
      </c>
      <c r="D280" s="17" t="inlineStr">
        <is>
          <t>Life color plus 100ml  8.03</t>
        </is>
      </c>
      <c r="E280" s="18" t="n">
        <v>6</v>
      </c>
      <c r="F280" s="18" t="n">
        <v>72</v>
      </c>
      <c r="G280" s="18" t="n">
        <v>54</v>
      </c>
      <c r="H280" s="18" t="n"/>
      <c r="I280" s="18" t="n"/>
      <c r="J280" s="18" t="n"/>
      <c r="K280" s="19" t="n"/>
      <c r="L280" s="19" t="n"/>
      <c r="M280" s="20" t="n"/>
      <c r="N280" s="20" t="n">
        <v>50</v>
      </c>
      <c r="O280" s="20" t="n"/>
      <c r="P280" s="20">
        <f>O280-N280</f>
        <v/>
      </c>
      <c r="Q280" s="20">
        <f>P280*E280</f>
        <v/>
      </c>
      <c r="R280" s="20" t="n"/>
    </row>
    <row r="281" ht="20" customHeight="1" s="1">
      <c r="A281" s="21" t="inlineStr">
        <is>
          <t>11421</t>
        </is>
      </c>
      <c r="B281" s="22" t="inlineStr">
        <is>
          <t>FarmaVita</t>
        </is>
      </c>
      <c r="C281" s="21" t="inlineStr">
        <is>
          <t>8022033007230</t>
        </is>
      </c>
      <c r="D281" s="22" t="inlineStr">
        <is>
          <t>Life color plus 100ml  8.07</t>
        </is>
      </c>
      <c r="E281" s="23" t="n">
        <v>6</v>
      </c>
      <c r="F281" s="23" t="n">
        <v>72</v>
      </c>
      <c r="G281" s="23" t="n">
        <v>115</v>
      </c>
      <c r="H281" s="23" t="n">
        <v>115</v>
      </c>
      <c r="I281" s="23" t="n"/>
      <c r="J281" s="23" t="n"/>
      <c r="K281" s="19">
        <f>H281+I281+J281</f>
        <v/>
      </c>
      <c r="L281" s="19">
        <f>K281-G281</f>
        <v/>
      </c>
      <c r="M281" s="20">
        <f>L281*E281</f>
        <v/>
      </c>
      <c r="N281" s="20" t="n">
        <v>50</v>
      </c>
      <c r="O281" s="20" t="n"/>
      <c r="P281" s="20">
        <f>O281-N281</f>
        <v/>
      </c>
      <c r="Q281" s="20">
        <f>P281*E281</f>
        <v/>
      </c>
      <c r="R281" s="20" t="n"/>
    </row>
    <row r="282" ht="20" customHeight="1" s="1">
      <c r="A282" s="16" t="inlineStr">
        <is>
          <t>10516</t>
        </is>
      </c>
      <c r="B282" s="17" t="inlineStr">
        <is>
          <t>FarmaVita</t>
        </is>
      </c>
      <c r="C282" s="16" t="inlineStr">
        <is>
          <t>8022033007308</t>
        </is>
      </c>
      <c r="D282" s="17" t="inlineStr">
        <is>
          <t>Life color plus 100ml  8.1</t>
        </is>
      </c>
      <c r="E282" s="18" t="n">
        <v>6</v>
      </c>
      <c r="F282" s="18" t="n">
        <v>72</v>
      </c>
      <c r="G282" s="18" t="n">
        <v>288</v>
      </c>
      <c r="H282" s="18" t="n"/>
      <c r="I282" s="18" t="n"/>
      <c r="J282" s="18" t="n"/>
      <c r="K282" s="19" t="n"/>
      <c r="L282" s="19" t="n"/>
      <c r="M282" s="20" t="n"/>
      <c r="N282" s="20" t="n">
        <v>50</v>
      </c>
      <c r="O282" s="20" t="n">
        <v>20</v>
      </c>
      <c r="P282" s="20">
        <f>O282-N282</f>
        <v/>
      </c>
      <c r="Q282" s="20">
        <f>P282*E282</f>
        <v/>
      </c>
      <c r="R282" s="20" t="inlineStr">
        <is>
          <t>Mərkəz</t>
        </is>
      </c>
    </row>
    <row r="283" ht="20" customHeight="1" s="1">
      <c r="A283" s="21" t="inlineStr">
        <is>
          <t>17303</t>
        </is>
      </c>
      <c r="B283" s="22" t="inlineStr">
        <is>
          <t>FarmaVita</t>
        </is>
      </c>
      <c r="C283" s="21" t="inlineStr">
        <is>
          <t>8022033107558</t>
        </is>
      </c>
      <c r="D283" s="22" t="inlineStr">
        <is>
          <t>Life color plus 100ml  8.11</t>
        </is>
      </c>
      <c r="E283" s="23" t="n">
        <v>6</v>
      </c>
      <c r="F283" s="23" t="n">
        <v>72</v>
      </c>
      <c r="G283" s="23" t="n">
        <v>282</v>
      </c>
      <c r="H283" s="23" t="n">
        <v>66</v>
      </c>
      <c r="I283" s="23" t="n">
        <v>216</v>
      </c>
      <c r="J283" s="23" t="n"/>
      <c r="K283" s="19">
        <f>H283+I283+J283</f>
        <v/>
      </c>
      <c r="L283" s="19">
        <f>K283-G283</f>
        <v/>
      </c>
      <c r="M283" s="20">
        <f>L283*E283</f>
        <v/>
      </c>
      <c r="N283" s="20" t="n">
        <v>50</v>
      </c>
      <c r="O283" s="20" t="n">
        <v>20</v>
      </c>
      <c r="P283" s="20">
        <f>O283-N283</f>
        <v/>
      </c>
      <c r="Q283" s="20">
        <f>P283*E283</f>
        <v/>
      </c>
      <c r="R283" s="20" t="inlineStr">
        <is>
          <t>Mərkəz</t>
        </is>
      </c>
    </row>
    <row r="284" ht="20" customHeight="1" s="1">
      <c r="A284" s="16" t="inlineStr">
        <is>
          <t>10460</t>
        </is>
      </c>
      <c r="B284" s="17" t="inlineStr">
        <is>
          <t>FarmaVita</t>
        </is>
      </c>
      <c r="C284" s="16" t="inlineStr">
        <is>
          <t>8022033102065</t>
        </is>
      </c>
      <c r="D284" s="17" t="inlineStr">
        <is>
          <t>Life color plus 100ml  8.12</t>
        </is>
      </c>
      <c r="E284" s="18" t="n">
        <v>6</v>
      </c>
      <c r="F284" s="18" t="n">
        <v>72</v>
      </c>
      <c r="G284" s="18" t="n">
        <v>45</v>
      </c>
      <c r="H284" s="18" t="n">
        <v>45</v>
      </c>
      <c r="I284" s="18" t="n"/>
      <c r="J284" s="18" t="n"/>
      <c r="K284" s="19">
        <f>H284+I284+J284</f>
        <v/>
      </c>
      <c r="L284" s="19">
        <f>K284-G284</f>
        <v/>
      </c>
      <c r="M284" s="20">
        <f>L284*E284</f>
        <v/>
      </c>
      <c r="N284" s="20" t="n">
        <v>50</v>
      </c>
      <c r="O284" s="20" t="n"/>
      <c r="P284" s="20">
        <f>O284-N284</f>
        <v/>
      </c>
      <c r="Q284" s="20">
        <f>P284*E284</f>
        <v/>
      </c>
      <c r="R284" s="20" t="n"/>
    </row>
    <row r="285" ht="20" customHeight="1" s="1">
      <c r="A285" s="21" t="inlineStr">
        <is>
          <t>11146</t>
        </is>
      </c>
      <c r="B285" s="22" t="inlineStr">
        <is>
          <t>FarmaVita</t>
        </is>
      </c>
      <c r="C285" s="21" t="inlineStr">
        <is>
          <t>8022033007575</t>
        </is>
      </c>
      <c r="D285" s="22" t="inlineStr">
        <is>
          <t>Life color plus 100ml  8.13</t>
        </is>
      </c>
      <c r="E285" s="23" t="n">
        <v>6</v>
      </c>
      <c r="F285" s="23" t="n">
        <v>72</v>
      </c>
      <c r="G285" s="23" t="n">
        <v>23</v>
      </c>
      <c r="H285" s="23" t="n">
        <v>23</v>
      </c>
      <c r="I285" s="23" t="n"/>
      <c r="J285" s="23" t="n"/>
      <c r="K285" s="19">
        <f>H285+I285+J285</f>
        <v/>
      </c>
      <c r="L285" s="19">
        <f>K285-G285</f>
        <v/>
      </c>
      <c r="M285" s="20">
        <f>L285*E285</f>
        <v/>
      </c>
      <c r="N285" s="20" t="n">
        <v>50</v>
      </c>
      <c r="O285" s="20" t="n"/>
      <c r="P285" s="20">
        <f>O285-N285</f>
        <v/>
      </c>
      <c r="Q285" s="20">
        <f>P285*E285</f>
        <v/>
      </c>
      <c r="R285" s="20" t="n"/>
    </row>
    <row r="286" ht="20" customHeight="1" s="1">
      <c r="A286" s="16" t="inlineStr">
        <is>
          <t>11233</t>
        </is>
      </c>
      <c r="B286" s="17" t="inlineStr">
        <is>
          <t>FarmaVita</t>
        </is>
      </c>
      <c r="C286" s="16" t="inlineStr">
        <is>
          <t>8022033007377</t>
        </is>
      </c>
      <c r="D286" s="17" t="inlineStr">
        <is>
          <t>Life color plus 100ml  8.3</t>
        </is>
      </c>
      <c r="E286" s="18" t="n">
        <v>6</v>
      </c>
      <c r="F286" s="18" t="n">
        <v>72</v>
      </c>
      <c r="G286" s="18" t="n">
        <v>39</v>
      </c>
      <c r="H286" s="18" t="n">
        <v>39</v>
      </c>
      <c r="I286" s="18" t="n"/>
      <c r="J286" s="18" t="n"/>
      <c r="K286" s="19">
        <f>H286+I286+J286</f>
        <v/>
      </c>
      <c r="L286" s="19">
        <f>K286-G286</f>
        <v/>
      </c>
      <c r="M286" s="20">
        <f>L286*E286</f>
        <v/>
      </c>
      <c r="N286" s="20" t="n">
        <v>50</v>
      </c>
      <c r="O286" s="20" t="n"/>
      <c r="P286" s="20">
        <f>O286-N286</f>
        <v/>
      </c>
      <c r="Q286" s="20">
        <f>P286*E286</f>
        <v/>
      </c>
      <c r="R286" s="20" t="n"/>
    </row>
    <row r="287" ht="20" customHeight="1" s="1">
      <c r="A287" s="21" t="inlineStr">
        <is>
          <t>10781</t>
        </is>
      </c>
      <c r="B287" s="22" t="inlineStr">
        <is>
          <t>FarmaVita</t>
        </is>
      </c>
      <c r="C287" s="21" t="inlineStr">
        <is>
          <t>8022033007407</t>
        </is>
      </c>
      <c r="D287" s="22" t="inlineStr">
        <is>
          <t>Life color plus 100ml  8.33</t>
        </is>
      </c>
      <c r="E287" s="23" t="n">
        <v>6</v>
      </c>
      <c r="F287" s="23" t="n">
        <v>72</v>
      </c>
      <c r="G287" s="23" t="n">
        <v>47</v>
      </c>
      <c r="H287" s="23" t="n">
        <v>47</v>
      </c>
      <c r="I287" s="23" t="n"/>
      <c r="J287" s="23" t="n"/>
      <c r="K287" s="19">
        <f>H287+I287+J287</f>
        <v/>
      </c>
      <c r="L287" s="19">
        <f>K287-G287</f>
        <v/>
      </c>
      <c r="M287" s="20">
        <f>L287*E287</f>
        <v/>
      </c>
      <c r="N287" s="20" t="n">
        <v>50</v>
      </c>
      <c r="O287" s="20" t="n"/>
      <c r="P287" s="20">
        <f>O287-N287</f>
        <v/>
      </c>
      <c r="Q287" s="20">
        <f>P287*E287</f>
        <v/>
      </c>
      <c r="R287" s="20" t="n"/>
    </row>
    <row r="288" ht="20" customHeight="1" s="1">
      <c r="A288" s="16" t="inlineStr">
        <is>
          <t>10760</t>
        </is>
      </c>
      <c r="B288" s="17" t="inlineStr">
        <is>
          <t>FarmaVita</t>
        </is>
      </c>
      <c r="C288" s="16" t="inlineStr">
        <is>
          <t>8022033007438</t>
        </is>
      </c>
      <c r="D288" s="17" t="inlineStr">
        <is>
          <t>Life color plus 100ml  8.34</t>
        </is>
      </c>
      <c r="E288" s="18" t="n">
        <v>6</v>
      </c>
      <c r="F288" s="18" t="n">
        <v>72</v>
      </c>
      <c r="G288" s="18" t="n">
        <v>40</v>
      </c>
      <c r="H288" s="18" t="n"/>
      <c r="I288" s="18" t="n"/>
      <c r="J288" s="18" t="n"/>
      <c r="K288" s="19" t="n"/>
      <c r="L288" s="19" t="n"/>
      <c r="M288" s="20" t="n"/>
      <c r="N288" s="20" t="n">
        <v>50</v>
      </c>
      <c r="O288" s="20" t="n"/>
      <c r="P288" s="20">
        <f>O288-N288</f>
        <v/>
      </c>
      <c r="Q288" s="20">
        <f>P288*E288</f>
        <v/>
      </c>
      <c r="R288" s="20" t="n"/>
    </row>
    <row r="289" ht="20" customHeight="1" s="1">
      <c r="A289" s="21" t="inlineStr">
        <is>
          <t>10819</t>
        </is>
      </c>
      <c r="B289" s="22" t="inlineStr">
        <is>
          <t>FarmaVita</t>
        </is>
      </c>
      <c r="C289" s="21" t="inlineStr">
        <is>
          <t>8022033007711</t>
        </is>
      </c>
      <c r="D289" s="22" t="inlineStr">
        <is>
          <t>Life color plus 100ml  8.4</t>
        </is>
      </c>
      <c r="E289" s="23" t="n">
        <v>6</v>
      </c>
      <c r="F289" s="23" t="n">
        <v>72</v>
      </c>
      <c r="G289" s="23" t="n">
        <v>21</v>
      </c>
      <c r="H289" s="23" t="n">
        <v>21</v>
      </c>
      <c r="I289" s="23" t="n"/>
      <c r="J289" s="23" t="n"/>
      <c r="K289" s="19">
        <f>H289+I289+J289</f>
        <v/>
      </c>
      <c r="L289" s="19">
        <f>K289-G289</f>
        <v/>
      </c>
      <c r="M289" s="20">
        <f>L289*E289</f>
        <v/>
      </c>
      <c r="N289" s="20" t="n">
        <v>50</v>
      </c>
      <c r="O289" s="20" t="n"/>
      <c r="P289" s="20">
        <f>O289-N289</f>
        <v/>
      </c>
      <c r="Q289" s="20">
        <f>P289*E289</f>
        <v/>
      </c>
      <c r="R289" s="20" t="n"/>
    </row>
    <row r="290" ht="20" customHeight="1" s="1">
      <c r="A290" s="16" t="inlineStr">
        <is>
          <t>11549</t>
        </is>
      </c>
      <c r="B290" s="17" t="inlineStr">
        <is>
          <t>FarmaVita</t>
        </is>
      </c>
      <c r="C290" s="16" t="inlineStr">
        <is>
          <t>8022033007780</t>
        </is>
      </c>
      <c r="D290" s="17" t="inlineStr">
        <is>
          <t>Life color plus 100ml  8.45</t>
        </is>
      </c>
      <c r="E290" s="18" t="n">
        <v>6</v>
      </c>
      <c r="F290" s="18" t="n">
        <v>72</v>
      </c>
      <c r="G290" s="18" t="n">
        <v>35</v>
      </c>
      <c r="H290" s="18" t="n">
        <v>35</v>
      </c>
      <c r="I290" s="18" t="n"/>
      <c r="J290" s="18" t="n"/>
      <c r="K290" s="19">
        <f>H290+I290+J290</f>
        <v/>
      </c>
      <c r="L290" s="19">
        <f>K290-G290</f>
        <v/>
      </c>
      <c r="M290" s="20">
        <f>L290*E290</f>
        <v/>
      </c>
      <c r="N290" s="20" t="n">
        <v>50</v>
      </c>
      <c r="O290" s="20" t="n"/>
      <c r="P290" s="20">
        <f>O290-N290</f>
        <v/>
      </c>
      <c r="Q290" s="20">
        <f>P290*E290</f>
        <v/>
      </c>
      <c r="R290" s="20" t="n"/>
    </row>
    <row r="291" ht="20" customHeight="1" s="1">
      <c r="A291" s="21" t="inlineStr">
        <is>
          <t>10616</t>
        </is>
      </c>
      <c r="B291" s="22" t="inlineStr">
        <is>
          <t>FarmaVita</t>
        </is>
      </c>
      <c r="C291" s="21" t="inlineStr">
        <is>
          <t>8022033007896</t>
        </is>
      </c>
      <c r="D291" s="22" t="inlineStr">
        <is>
          <t>Life color plus 100ml  8.66</t>
        </is>
      </c>
      <c r="E291" s="23" t="n">
        <v>6</v>
      </c>
      <c r="F291" s="23" t="n">
        <v>72</v>
      </c>
      <c r="G291" s="23" t="n">
        <v>22</v>
      </c>
      <c r="H291" s="23" t="n">
        <v>22</v>
      </c>
      <c r="I291" s="23" t="n"/>
      <c r="J291" s="23" t="n"/>
      <c r="K291" s="19">
        <f>H291+I291+J291</f>
        <v/>
      </c>
      <c r="L291" s="19">
        <f>K291-G291</f>
        <v/>
      </c>
      <c r="M291" s="20">
        <f>L291*E291</f>
        <v/>
      </c>
      <c r="N291" s="20" t="n">
        <v>50</v>
      </c>
      <c r="O291" s="20" t="n"/>
      <c r="P291" s="20">
        <f>O291-N291</f>
        <v/>
      </c>
      <c r="Q291" s="20">
        <f>P291*E291</f>
        <v/>
      </c>
      <c r="R291" s="20" t="n"/>
    </row>
    <row r="292" ht="20" customHeight="1" s="1">
      <c r="A292" s="16" t="inlineStr">
        <is>
          <t>10877</t>
        </is>
      </c>
      <c r="B292" s="17" t="inlineStr">
        <is>
          <t>FarmaVita</t>
        </is>
      </c>
      <c r="C292" s="16" t="inlineStr">
        <is>
          <t>8022033008107</t>
        </is>
      </c>
      <c r="D292" s="17" t="inlineStr">
        <is>
          <t>Life color plus 100ml  8.8 (8.7)</t>
        </is>
      </c>
      <c r="E292" s="18" t="n">
        <v>6</v>
      </c>
      <c r="F292" s="18" t="n">
        <v>72</v>
      </c>
      <c r="G292" s="18" t="n">
        <v>47</v>
      </c>
      <c r="H292" s="18" t="n">
        <v>45</v>
      </c>
      <c r="I292" s="18" t="n">
        <v>2</v>
      </c>
      <c r="J292" s="18" t="n"/>
      <c r="K292" s="19">
        <f>H292+I292+J292</f>
        <v/>
      </c>
      <c r="L292" s="19">
        <f>K292-G292</f>
        <v/>
      </c>
      <c r="M292" s="20">
        <f>L292*E292</f>
        <v/>
      </c>
      <c r="N292" s="20" t="n">
        <v>50</v>
      </c>
      <c r="O292" s="20" t="n"/>
      <c r="P292" s="20">
        <f>O292-N292</f>
        <v/>
      </c>
      <c r="Q292" s="20">
        <f>P292*E292</f>
        <v/>
      </c>
      <c r="R292" s="20" t="n"/>
    </row>
    <row r="293" ht="20" customHeight="1" s="1">
      <c r="A293" s="21" t="inlineStr">
        <is>
          <t>10935</t>
        </is>
      </c>
      <c r="B293" s="22" t="inlineStr">
        <is>
          <t>FarmaVita</t>
        </is>
      </c>
      <c r="C293" s="21" t="inlineStr">
        <is>
          <t>8022033007087</t>
        </is>
      </c>
      <c r="D293" s="22" t="inlineStr">
        <is>
          <t>Life color plus 100ml  9.0</t>
        </is>
      </c>
      <c r="E293" s="23" t="n">
        <v>6</v>
      </c>
      <c r="F293" s="23" t="n">
        <v>72</v>
      </c>
      <c r="G293" s="23" t="n">
        <v>124</v>
      </c>
      <c r="H293" s="23" t="n"/>
      <c r="I293" s="23" t="n"/>
      <c r="J293" s="23" t="n"/>
      <c r="K293" s="19" t="n"/>
      <c r="L293" s="19" t="n"/>
      <c r="M293" s="20" t="n"/>
      <c r="N293" s="20" t="n">
        <v>50</v>
      </c>
      <c r="O293" s="20" t="n"/>
      <c r="P293" s="20">
        <f>O293-N293</f>
        <v/>
      </c>
      <c r="Q293" s="20">
        <f>P293*E293</f>
        <v/>
      </c>
      <c r="R293" s="20" t="n"/>
    </row>
    <row r="294" ht="20" customHeight="1" s="1">
      <c r="A294" s="16" t="inlineStr">
        <is>
          <t>10845</t>
        </is>
      </c>
      <c r="B294" s="17" t="inlineStr">
        <is>
          <t>FarmaVita</t>
        </is>
      </c>
      <c r="C294" s="16" t="inlineStr">
        <is>
          <t>8022033006882</t>
        </is>
      </c>
      <c r="D294" s="17" t="inlineStr">
        <is>
          <t>Life color plus 100ml  9.00</t>
        </is>
      </c>
      <c r="E294" s="18" t="n">
        <v>6</v>
      </c>
      <c r="F294" s="18" t="n">
        <v>72</v>
      </c>
      <c r="G294" s="18" t="n">
        <v>122</v>
      </c>
      <c r="H294" s="18" t="n"/>
      <c r="I294" s="18" t="n"/>
      <c r="J294" s="18" t="n"/>
      <c r="K294" s="19" t="n"/>
      <c r="L294" s="19" t="n"/>
      <c r="M294" s="20" t="n"/>
      <c r="N294" s="20" t="n">
        <v>50</v>
      </c>
      <c r="O294" s="20" t="n">
        <v>10</v>
      </c>
      <c r="P294" s="20">
        <f>O294-N294</f>
        <v/>
      </c>
      <c r="Q294" s="20">
        <f>P294*E294</f>
        <v/>
      </c>
      <c r="R294" s="20" t="inlineStr">
        <is>
          <t>Orxan</t>
        </is>
      </c>
    </row>
    <row r="295" ht="20" customHeight="1" s="1">
      <c r="A295" s="21" t="inlineStr">
        <is>
          <t>11145</t>
        </is>
      </c>
      <c r="B295" s="22" t="inlineStr">
        <is>
          <t>FarmaVita</t>
        </is>
      </c>
      <c r="C295" s="21" t="inlineStr">
        <is>
          <t>8022033007629</t>
        </is>
      </c>
      <c r="D295" s="22" t="inlineStr">
        <is>
          <t>Life color plus 100ml  9.02</t>
        </is>
      </c>
      <c r="E295" s="23" t="n">
        <v>6</v>
      </c>
      <c r="F295" s="23" t="n">
        <v>72</v>
      </c>
      <c r="G295" s="23" t="n">
        <v>74</v>
      </c>
      <c r="H295" s="23" t="n"/>
      <c r="I295" s="23" t="n"/>
      <c r="J295" s="23" t="n"/>
      <c r="K295" s="19" t="n"/>
      <c r="L295" s="19" t="n"/>
      <c r="M295" s="20" t="n"/>
      <c r="N295" s="20" t="n">
        <v>50</v>
      </c>
      <c r="O295" s="20" t="n"/>
      <c r="P295" s="20">
        <f>O295-N295</f>
        <v/>
      </c>
      <c r="Q295" s="20">
        <f>P295*E295</f>
        <v/>
      </c>
      <c r="R295" s="20" t="n"/>
    </row>
    <row r="296" ht="20" customHeight="1" s="1">
      <c r="A296" s="16" t="inlineStr">
        <is>
          <t>10780</t>
        </is>
      </c>
      <c r="B296" s="17" t="inlineStr">
        <is>
          <t>FarmaVita</t>
        </is>
      </c>
      <c r="C296" s="16" t="inlineStr">
        <is>
          <t>8022033007247</t>
        </is>
      </c>
      <c r="D296" s="17" t="inlineStr">
        <is>
          <t>Life color plus 100ml  9.07</t>
        </is>
      </c>
      <c r="E296" s="18" t="n">
        <v>6</v>
      </c>
      <c r="F296" s="18" t="n">
        <v>72</v>
      </c>
      <c r="G296" s="18" t="n">
        <v>54</v>
      </c>
      <c r="H296" s="18" t="n">
        <v>53</v>
      </c>
      <c r="I296" s="18" t="n">
        <v>1</v>
      </c>
      <c r="J296" s="18" t="n"/>
      <c r="K296" s="19">
        <f>H296+I296+J296</f>
        <v/>
      </c>
      <c r="L296" s="19">
        <f>K296-G296</f>
        <v/>
      </c>
      <c r="M296" s="20">
        <f>L296*E296</f>
        <v/>
      </c>
      <c r="N296" s="20" t="n">
        <v>50</v>
      </c>
      <c r="O296" s="20" t="n">
        <v>50</v>
      </c>
      <c r="P296" s="20">
        <f>O296-N296</f>
        <v/>
      </c>
      <c r="Q296" s="20">
        <f>P296*E296</f>
        <v/>
      </c>
      <c r="R296" s="20" t="inlineStr">
        <is>
          <t>Orxan</t>
        </is>
      </c>
    </row>
    <row r="297" ht="20" customHeight="1" s="1">
      <c r="A297" s="21" t="inlineStr">
        <is>
          <t>11121</t>
        </is>
      </c>
      <c r="B297" s="22" t="inlineStr">
        <is>
          <t>FarmaVita</t>
        </is>
      </c>
      <c r="C297" s="21" t="inlineStr">
        <is>
          <t>8022033007315</t>
        </is>
      </c>
      <c r="D297" s="22" t="inlineStr">
        <is>
          <t>Life color plus 100ml  9.1</t>
        </is>
      </c>
      <c r="E297" s="23" t="n">
        <v>6</v>
      </c>
      <c r="F297" s="23" t="n">
        <v>72</v>
      </c>
      <c r="G297" s="23" t="n">
        <v>160</v>
      </c>
      <c r="H297" s="23" t="n"/>
      <c r="I297" s="23" t="n"/>
      <c r="J297" s="23" t="n"/>
      <c r="K297" s="19" t="n"/>
      <c r="L297" s="19" t="n"/>
      <c r="M297" s="20" t="n"/>
      <c r="N297" s="20" t="n">
        <v>50</v>
      </c>
      <c r="O297" s="20" t="n">
        <v>40</v>
      </c>
      <c r="P297" s="20">
        <f>O297-N297</f>
        <v/>
      </c>
      <c r="Q297" s="20">
        <f>P297*E297</f>
        <v/>
      </c>
      <c r="R297" s="20" t="inlineStr">
        <is>
          <t>Mərkəz</t>
        </is>
      </c>
    </row>
    <row r="298" ht="20" customHeight="1" s="1">
      <c r="A298" s="16" t="inlineStr">
        <is>
          <t>17302</t>
        </is>
      </c>
      <c r="B298" s="17" t="inlineStr">
        <is>
          <t>FarmaVita</t>
        </is>
      </c>
      <c r="C298" s="16" t="inlineStr">
        <is>
          <t>8022033107565</t>
        </is>
      </c>
      <c r="D298" s="17" t="inlineStr">
        <is>
          <t>Life color plus 100ml  9.11</t>
        </is>
      </c>
      <c r="E298" s="18" t="n">
        <v>6</v>
      </c>
      <c r="F298" s="18" t="n">
        <v>72</v>
      </c>
      <c r="G298" s="18" t="n">
        <v>153</v>
      </c>
      <c r="H298" s="18" t="n">
        <v>8</v>
      </c>
      <c r="I298" s="18" t="n">
        <v>145</v>
      </c>
      <c r="J298" s="18" t="n"/>
      <c r="K298" s="19">
        <f>H298+I298+J298</f>
        <v/>
      </c>
      <c r="L298" s="19">
        <f>K298-G298</f>
        <v/>
      </c>
      <c r="M298" s="20">
        <f>L298*E298</f>
        <v/>
      </c>
      <c r="N298" s="20" t="n">
        <v>50</v>
      </c>
      <c r="O298" s="20" t="n"/>
      <c r="P298" s="20">
        <f>O298-N298</f>
        <v/>
      </c>
      <c r="Q298" s="20">
        <f>P298*E298</f>
        <v/>
      </c>
      <c r="R298" s="20" t="n"/>
    </row>
    <row r="299" ht="20" customHeight="1" s="1">
      <c r="A299" s="21" t="inlineStr">
        <is>
          <t>19481</t>
        </is>
      </c>
      <c r="B299" s="22" t="inlineStr">
        <is>
          <t>FarmaVita</t>
        </is>
      </c>
      <c r="C299" s="21" t="inlineStr">
        <is>
          <t>8022033108715</t>
        </is>
      </c>
      <c r="D299" s="22" t="inlineStr">
        <is>
          <t>Life color plus 100ml  9.12</t>
        </is>
      </c>
      <c r="E299" s="23" t="n">
        <v>6</v>
      </c>
      <c r="F299" s="23" t="n">
        <v>72</v>
      </c>
      <c r="G299" s="23" t="n">
        <v>41</v>
      </c>
      <c r="H299" s="23" t="n"/>
      <c r="I299" s="23" t="n"/>
      <c r="J299" s="23" t="n"/>
      <c r="K299" s="19" t="n"/>
      <c r="L299" s="19" t="n"/>
      <c r="M299" s="20" t="n"/>
      <c r="N299" s="20" t="n">
        <v>50</v>
      </c>
      <c r="O299" s="20" t="n"/>
      <c r="P299" s="20">
        <f>O299-N299</f>
        <v/>
      </c>
      <c r="Q299" s="20">
        <f>P299*E299</f>
        <v/>
      </c>
      <c r="R299" s="20" t="n"/>
    </row>
    <row r="300" ht="20" customHeight="1" s="1">
      <c r="A300" s="16" t="inlineStr">
        <is>
          <t>11338</t>
        </is>
      </c>
      <c r="B300" s="17" t="inlineStr">
        <is>
          <t>FarmaVita</t>
        </is>
      </c>
      <c r="C300" s="16" t="inlineStr">
        <is>
          <t>8022033007582</t>
        </is>
      </c>
      <c r="D300" s="17" t="inlineStr">
        <is>
          <t>Life color plus 100ml  9.13</t>
        </is>
      </c>
      <c r="E300" s="18" t="n">
        <v>6</v>
      </c>
      <c r="F300" s="18" t="n">
        <v>72</v>
      </c>
      <c r="G300" s="18" t="n">
        <v>17</v>
      </c>
      <c r="H300" s="18" t="n">
        <v>17</v>
      </c>
      <c r="I300" s="18" t="n"/>
      <c r="J300" s="18" t="n"/>
      <c r="K300" s="19">
        <f>H300+I300+J300</f>
        <v/>
      </c>
      <c r="L300" s="19">
        <f>K300-G300</f>
        <v/>
      </c>
      <c r="M300" s="20">
        <f>L300*E300</f>
        <v/>
      </c>
      <c r="N300" s="20" t="n">
        <v>50</v>
      </c>
      <c r="O300" s="20" t="n"/>
      <c r="P300" s="20">
        <f>O300-N300</f>
        <v/>
      </c>
      <c r="Q300" s="20">
        <f>P300*E300</f>
        <v/>
      </c>
      <c r="R300" s="20" t="n"/>
    </row>
    <row r="301" ht="20" customHeight="1" s="1">
      <c r="A301" s="21" t="inlineStr">
        <is>
          <t>19482</t>
        </is>
      </c>
      <c r="B301" s="22" t="inlineStr">
        <is>
          <t>FarmaVita</t>
        </is>
      </c>
      <c r="C301" s="21" t="inlineStr">
        <is>
          <t>8022033108685</t>
        </is>
      </c>
      <c r="D301" s="22" t="inlineStr">
        <is>
          <t>Life color plus 100ml  9.21</t>
        </is>
      </c>
      <c r="E301" s="23" t="n">
        <v>6</v>
      </c>
      <c r="F301" s="23" t="n">
        <v>72</v>
      </c>
      <c r="G301" s="23" t="n">
        <v>37</v>
      </c>
      <c r="H301" s="23" t="n">
        <v>37</v>
      </c>
      <c r="I301" s="23" t="n"/>
      <c r="J301" s="23" t="n"/>
      <c r="K301" s="19">
        <f>H301+I301+J301</f>
        <v/>
      </c>
      <c r="L301" s="19">
        <f>K301-G301</f>
        <v/>
      </c>
      <c r="M301" s="20">
        <f>L301*E301</f>
        <v/>
      </c>
      <c r="N301" s="20" t="n">
        <v>50</v>
      </c>
      <c r="O301" s="20" t="n"/>
      <c r="P301" s="20">
        <f>O301-N301</f>
        <v/>
      </c>
      <c r="Q301" s="20">
        <f>P301*E301</f>
        <v/>
      </c>
      <c r="R301" s="20" t="n"/>
    </row>
    <row r="302" ht="20" customHeight="1" s="1">
      <c r="A302" s="16" t="inlineStr">
        <is>
          <t>10952</t>
        </is>
      </c>
      <c r="B302" s="17" t="inlineStr">
        <is>
          <t>FarmaVita</t>
        </is>
      </c>
      <c r="C302" s="16" t="inlineStr">
        <is>
          <t>8022033007933</t>
        </is>
      </c>
      <c r="D302" s="17" t="inlineStr">
        <is>
          <t>Life color plus 100ml  9.22</t>
        </is>
      </c>
      <c r="E302" s="18" t="n">
        <v>6</v>
      </c>
      <c r="F302" s="18" t="n">
        <v>72</v>
      </c>
      <c r="G302" s="18" t="n">
        <v>41</v>
      </c>
      <c r="H302" s="18" t="n">
        <v>41</v>
      </c>
      <c r="I302" s="18" t="n"/>
      <c r="J302" s="18" t="n"/>
      <c r="K302" s="19">
        <f>H302+I302+J302</f>
        <v/>
      </c>
      <c r="L302" s="19">
        <f>K302-G302</f>
        <v/>
      </c>
      <c r="M302" s="20">
        <f>L302*E302</f>
        <v/>
      </c>
      <c r="N302" s="20" t="n">
        <v>50</v>
      </c>
      <c r="O302" s="20" t="n"/>
      <c r="P302" s="20">
        <f>O302-N302</f>
        <v/>
      </c>
      <c r="Q302" s="20">
        <f>P302*E302</f>
        <v/>
      </c>
      <c r="R302" s="20" t="n"/>
    </row>
    <row r="303" ht="20" customHeight="1" s="1">
      <c r="A303" s="21" t="inlineStr">
        <is>
          <t>19483</t>
        </is>
      </c>
      <c r="B303" s="22" t="inlineStr">
        <is>
          <t>FarmaVita</t>
        </is>
      </c>
      <c r="C303" s="21" t="inlineStr">
        <is>
          <t>8022033108692</t>
        </is>
      </c>
      <c r="D303" s="22" t="inlineStr">
        <is>
          <t>Life color plus 100ml  9.26</t>
        </is>
      </c>
      <c r="E303" s="23" t="n">
        <v>6</v>
      </c>
      <c r="F303" s="23" t="n">
        <v>72</v>
      </c>
      <c r="G303" s="23" t="n">
        <v>36</v>
      </c>
      <c r="H303" s="23" t="n">
        <v>36</v>
      </c>
      <c r="I303" s="23" t="n"/>
      <c r="J303" s="23" t="n"/>
      <c r="K303" s="19">
        <f>H303+I303+J303</f>
        <v/>
      </c>
      <c r="L303" s="19">
        <f>K303-G303</f>
        <v/>
      </c>
      <c r="M303" s="20">
        <f>L303*E303</f>
        <v/>
      </c>
      <c r="N303" s="20" t="n">
        <v>50</v>
      </c>
      <c r="O303" s="20" t="n"/>
      <c r="P303" s="20">
        <f>O303-N303</f>
        <v/>
      </c>
      <c r="Q303" s="20">
        <f>P303*E303</f>
        <v/>
      </c>
      <c r="R303" s="20" t="n"/>
    </row>
    <row r="304" ht="20" customHeight="1" s="1">
      <c r="A304" s="16" t="inlineStr">
        <is>
          <t>11450</t>
        </is>
      </c>
      <c r="B304" s="17" t="inlineStr">
        <is>
          <t>FarmaVita</t>
        </is>
      </c>
      <c r="C304" s="16" t="inlineStr">
        <is>
          <t>8022033007384</t>
        </is>
      </c>
      <c r="D304" s="17" t="inlineStr">
        <is>
          <t>Life color plus 100ml  9.3</t>
        </is>
      </c>
      <c r="E304" s="18" t="n">
        <v>6</v>
      </c>
      <c r="F304" s="18" t="n">
        <v>72</v>
      </c>
      <c r="G304" s="18" t="n">
        <v>19</v>
      </c>
      <c r="H304" s="18" t="n">
        <v>19</v>
      </c>
      <c r="I304" s="18" t="n"/>
      <c r="J304" s="18" t="n"/>
      <c r="K304" s="19">
        <f>H304+I304+J304</f>
        <v/>
      </c>
      <c r="L304" s="19">
        <f>K304-G304</f>
        <v/>
      </c>
      <c r="M304" s="20">
        <f>L304*E304</f>
        <v/>
      </c>
      <c r="N304" s="20" t="n">
        <v>50</v>
      </c>
      <c r="O304" s="20" t="n"/>
      <c r="P304" s="20">
        <f>O304-N304</f>
        <v/>
      </c>
      <c r="Q304" s="20">
        <f>P304*E304</f>
        <v/>
      </c>
      <c r="R304" s="20" t="n"/>
    </row>
    <row r="305" ht="20" customHeight="1" s="1">
      <c r="A305" s="21" t="inlineStr">
        <is>
          <t>10848</t>
        </is>
      </c>
      <c r="B305" s="22" t="inlineStr">
        <is>
          <t>FarmaVita</t>
        </is>
      </c>
      <c r="C305" s="21" t="inlineStr">
        <is>
          <t>8022033007414</t>
        </is>
      </c>
      <c r="D305" s="22" t="inlineStr">
        <is>
          <t>Life color plus 100ml  9.33</t>
        </is>
      </c>
      <c r="E305" s="23" t="n">
        <v>6</v>
      </c>
      <c r="F305" s="23" t="n">
        <v>72</v>
      </c>
      <c r="G305" s="23" t="n">
        <v>46</v>
      </c>
      <c r="H305" s="23" t="n">
        <v>40</v>
      </c>
      <c r="I305" s="23" t="n">
        <v>6</v>
      </c>
      <c r="J305" s="23" t="n"/>
      <c r="K305" s="19">
        <f>H305+I305+J305</f>
        <v/>
      </c>
      <c r="L305" s="19">
        <f>K305-G305</f>
        <v/>
      </c>
      <c r="M305" s="20">
        <f>L305*E305</f>
        <v/>
      </c>
      <c r="N305" s="20" t="n">
        <v>50</v>
      </c>
      <c r="O305" s="20" t="n"/>
      <c r="P305" s="20">
        <f>O305-N305</f>
        <v/>
      </c>
      <c r="Q305" s="20">
        <f>P305*E305</f>
        <v/>
      </c>
      <c r="R305" s="20" t="n"/>
    </row>
    <row r="306" ht="20" customHeight="1" s="1">
      <c r="A306" s="16" t="inlineStr">
        <is>
          <t>19480</t>
        </is>
      </c>
      <c r="B306" s="17" t="inlineStr">
        <is>
          <t>FarmaVita</t>
        </is>
      </c>
      <c r="C306" s="16" t="inlineStr">
        <is>
          <t>8022033108654</t>
        </is>
      </c>
      <c r="D306" s="17" t="inlineStr">
        <is>
          <t>Life color plus 100ml  9.5</t>
        </is>
      </c>
      <c r="E306" s="18" t="n">
        <v>6</v>
      </c>
      <c r="F306" s="18" t="n">
        <v>72</v>
      </c>
      <c r="G306" s="18" t="n">
        <v>26</v>
      </c>
      <c r="H306" s="18" t="n">
        <v>26</v>
      </c>
      <c r="I306" s="18" t="n"/>
      <c r="J306" s="18" t="n"/>
      <c r="K306" s="19">
        <f>H306+I306+J306</f>
        <v/>
      </c>
      <c r="L306" s="19">
        <f>K306-G306</f>
        <v/>
      </c>
      <c r="M306" s="20">
        <f>L306*E306</f>
        <v/>
      </c>
      <c r="N306" s="20" t="n">
        <v>50</v>
      </c>
      <c r="O306" s="20" t="n"/>
      <c r="P306" s="20">
        <f>O306-N306</f>
        <v/>
      </c>
      <c r="Q306" s="20">
        <f>P306*E306</f>
        <v/>
      </c>
      <c r="R306" s="20" t="n"/>
    </row>
    <row r="307" ht="20" customHeight="1" s="1">
      <c r="A307" s="21" t="inlineStr">
        <is>
          <t>10734</t>
        </is>
      </c>
      <c r="B307" s="22" t="inlineStr">
        <is>
          <t>FarmaVita</t>
        </is>
      </c>
      <c r="C307" s="21" t="inlineStr">
        <is>
          <t>8022033006899</t>
        </is>
      </c>
      <c r="D307" s="22" t="inlineStr">
        <is>
          <t>Life color plus 100ml  9.8 (9.7)</t>
        </is>
      </c>
      <c r="E307" s="23" t="n">
        <v>6</v>
      </c>
      <c r="F307" s="23" t="n">
        <v>72</v>
      </c>
      <c r="G307" s="23" t="n">
        <v>7</v>
      </c>
      <c r="H307" s="23" t="n">
        <v>7</v>
      </c>
      <c r="I307" s="23" t="n"/>
      <c r="J307" s="23" t="n"/>
      <c r="K307" s="19">
        <f>H307+I307+J307</f>
        <v/>
      </c>
      <c r="L307" s="19">
        <f>K307-G307</f>
        <v/>
      </c>
      <c r="M307" s="20">
        <f>L307*E307</f>
        <v/>
      </c>
      <c r="N307" s="20" t="n">
        <v>50</v>
      </c>
      <c r="O307" s="20" t="n"/>
      <c r="P307" s="20">
        <f>O307-N307</f>
        <v/>
      </c>
      <c r="Q307" s="20">
        <f>P307*E307</f>
        <v/>
      </c>
      <c r="R307" s="20" t="n"/>
    </row>
    <row r="308" ht="20" customHeight="1" s="1">
      <c r="A308" s="16" t="inlineStr">
        <is>
          <t>10713</t>
        </is>
      </c>
      <c r="B308" s="17" t="inlineStr">
        <is>
          <t>FarmaVita</t>
        </is>
      </c>
      <c r="C308" s="16" t="inlineStr">
        <is>
          <t>8022033102126</t>
        </is>
      </c>
      <c r="D308" s="17" t="inlineStr">
        <is>
          <t>Life color plus 100ml 9.82 (9.72)</t>
        </is>
      </c>
      <c r="E308" s="18" t="n">
        <v>6</v>
      </c>
      <c r="F308" s="18" t="n">
        <v>72</v>
      </c>
      <c r="G308" s="18" t="n">
        <v>23</v>
      </c>
      <c r="H308" s="18" t="n">
        <v>23</v>
      </c>
      <c r="I308" s="18" t="n"/>
      <c r="J308" s="18" t="n"/>
      <c r="K308" s="19">
        <f>H308+I308+J308</f>
        <v/>
      </c>
      <c r="L308" s="19">
        <f>K308-G308</f>
        <v/>
      </c>
      <c r="M308" s="20">
        <f>L308*E308</f>
        <v/>
      </c>
      <c r="N308" s="20" t="n">
        <v>50</v>
      </c>
      <c r="O308" s="20" t="n"/>
      <c r="P308" s="20">
        <f>O308-N308</f>
        <v/>
      </c>
      <c r="Q308" s="20">
        <f>P308*E308</f>
        <v/>
      </c>
      <c r="R308" s="20" t="n"/>
    </row>
    <row r="309" ht="20" customHeight="1" s="1">
      <c r="A309" s="21" t="inlineStr">
        <is>
          <t>11451</t>
        </is>
      </c>
      <c r="B309" s="22" t="inlineStr">
        <is>
          <t>FarmaVita</t>
        </is>
      </c>
      <c r="C309" s="21" t="inlineStr">
        <is>
          <t>8022033007940</t>
        </is>
      </c>
      <c r="D309" s="22" t="inlineStr">
        <is>
          <t>Life color plus 100ml  900</t>
        </is>
      </c>
      <c r="E309" s="23" t="n">
        <v>6</v>
      </c>
      <c r="F309" s="23" t="n">
        <v>72</v>
      </c>
      <c r="G309" s="23" t="n">
        <v>33</v>
      </c>
      <c r="H309" s="23" t="n">
        <v>33</v>
      </c>
      <c r="I309" s="23" t="n"/>
      <c r="J309" s="23" t="n"/>
      <c r="K309" s="19">
        <f>H309+I309+J309</f>
        <v/>
      </c>
      <c r="L309" s="19">
        <f>K309-G309</f>
        <v/>
      </c>
      <c r="M309" s="20">
        <f>L309*E309</f>
        <v/>
      </c>
      <c r="N309" s="20" t="n">
        <v>50</v>
      </c>
      <c r="O309" s="20" t="n"/>
      <c r="P309" s="20">
        <f>O309-N309</f>
        <v/>
      </c>
      <c r="Q309" s="20">
        <f>P309*E309</f>
        <v/>
      </c>
      <c r="R309" s="20" t="n"/>
    </row>
    <row r="310" ht="20" customHeight="1" s="1">
      <c r="A310" s="16" t="inlineStr">
        <is>
          <t>10951</t>
        </is>
      </c>
      <c r="B310" s="17" t="inlineStr">
        <is>
          <t>FarmaVita</t>
        </is>
      </c>
      <c r="C310" s="16" t="inlineStr">
        <is>
          <t>8022033007957</t>
        </is>
      </c>
      <c r="D310" s="17" t="inlineStr">
        <is>
          <t>Life color plus 100ml  901</t>
        </is>
      </c>
      <c r="E310" s="18" t="n">
        <v>6</v>
      </c>
      <c r="F310" s="18" t="n">
        <v>72</v>
      </c>
      <c r="G310" s="18" t="n">
        <v>43</v>
      </c>
      <c r="H310" s="18" t="n">
        <v>41</v>
      </c>
      <c r="I310" s="18" t="n">
        <v>2</v>
      </c>
      <c r="J310" s="18" t="n"/>
      <c r="K310" s="19">
        <f>H310+I310+J310</f>
        <v/>
      </c>
      <c r="L310" s="19">
        <f>K310-G310</f>
        <v/>
      </c>
      <c r="M310" s="20">
        <f>L310*E310</f>
        <v/>
      </c>
      <c r="N310" s="20" t="n">
        <v>50</v>
      </c>
      <c r="O310" s="20" t="n"/>
      <c r="P310" s="20">
        <f>O310-N310</f>
        <v/>
      </c>
      <c r="Q310" s="20">
        <f>P310*E310</f>
        <v/>
      </c>
      <c r="R310" s="20" t="n"/>
    </row>
    <row r="311" ht="20" customHeight="1" s="1">
      <c r="A311" s="21" t="inlineStr">
        <is>
          <t>11339</t>
        </is>
      </c>
      <c r="B311" s="22" t="inlineStr">
        <is>
          <t>FarmaVita</t>
        </is>
      </c>
      <c r="C311" s="21" t="inlineStr">
        <is>
          <t>8022033007964</t>
        </is>
      </c>
      <c r="D311" s="22" t="inlineStr">
        <is>
          <t>Life color plus 100ml  902</t>
        </is>
      </c>
      <c r="E311" s="23" t="n">
        <v>6</v>
      </c>
      <c r="F311" s="23" t="n">
        <v>72</v>
      </c>
      <c r="G311" s="23" t="n">
        <v>46</v>
      </c>
      <c r="H311" s="23" t="n"/>
      <c r="I311" s="23" t="n"/>
      <c r="J311" s="23" t="n"/>
      <c r="K311" s="19" t="n"/>
      <c r="L311" s="19" t="n"/>
      <c r="M311" s="20" t="n"/>
      <c r="N311" s="20" t="n">
        <v>50</v>
      </c>
      <c r="O311" s="20" t="n"/>
      <c r="P311" s="20">
        <f>O311-N311</f>
        <v/>
      </c>
      <c r="Q311" s="20">
        <f>P311*E311</f>
        <v/>
      </c>
      <c r="R311" s="20" t="n"/>
    </row>
    <row r="312" ht="20" customHeight="1" s="1">
      <c r="A312" s="16" t="inlineStr">
        <is>
          <t>10928</t>
        </is>
      </c>
      <c r="B312" s="17" t="inlineStr">
        <is>
          <t>FarmaVita</t>
        </is>
      </c>
      <c r="C312" s="16" t="inlineStr">
        <is>
          <t>8022033007971</t>
        </is>
      </c>
      <c r="D312" s="17" t="inlineStr">
        <is>
          <t>Life color plus 100ml  903</t>
        </is>
      </c>
      <c r="E312" s="18" t="n">
        <v>6</v>
      </c>
      <c r="F312" s="18" t="n">
        <v>72</v>
      </c>
      <c r="G312" s="18" t="n">
        <v>85</v>
      </c>
      <c r="H312" s="18" t="n">
        <v>85</v>
      </c>
      <c r="I312" s="18" t="n"/>
      <c r="J312" s="18" t="n"/>
      <c r="K312" s="19">
        <f>H312+I312+J312</f>
        <v/>
      </c>
      <c r="L312" s="19">
        <f>K312-G312</f>
        <v/>
      </c>
      <c r="M312" s="20">
        <f>L312*E312</f>
        <v/>
      </c>
      <c r="N312" s="20" t="n">
        <v>50</v>
      </c>
      <c r="O312" s="20" t="n"/>
      <c r="P312" s="20">
        <f>O312-N312</f>
        <v/>
      </c>
      <c r="Q312" s="20">
        <f>P312*E312</f>
        <v/>
      </c>
      <c r="R312" s="20" t="n"/>
    </row>
    <row r="313" ht="20" customHeight="1" s="1">
      <c r="A313" s="21" t="inlineStr">
        <is>
          <t>10967</t>
        </is>
      </c>
      <c r="B313" s="22" t="inlineStr">
        <is>
          <t>FarmaVita</t>
        </is>
      </c>
      <c r="C313" s="21" t="inlineStr">
        <is>
          <t>8022033007988</t>
        </is>
      </c>
      <c r="D313" s="22" t="inlineStr">
        <is>
          <t>Life color plus 100ml  911</t>
        </is>
      </c>
      <c r="E313" s="23" t="n">
        <v>6</v>
      </c>
      <c r="F313" s="23" t="n">
        <v>72</v>
      </c>
      <c r="G313" s="23" t="n">
        <v>29</v>
      </c>
      <c r="H313" s="23" t="n">
        <v>28</v>
      </c>
      <c r="I313" s="23" t="n"/>
      <c r="J313" s="23" t="n">
        <v>1</v>
      </c>
      <c r="K313" s="19">
        <f>H313+I313+J313</f>
        <v/>
      </c>
      <c r="L313" s="19">
        <f>K313-G313</f>
        <v/>
      </c>
      <c r="M313" s="20">
        <f>L313*E313</f>
        <v/>
      </c>
      <c r="N313" s="20" t="n">
        <v>50</v>
      </c>
      <c r="O313" s="20" t="n"/>
      <c r="P313" s="20">
        <f>O313-N313</f>
        <v/>
      </c>
      <c r="Q313" s="20">
        <f>P313*E313</f>
        <v/>
      </c>
      <c r="R313" s="20" t="n"/>
    </row>
    <row r="314" ht="20" customHeight="1" s="1">
      <c r="A314" s="16" t="inlineStr">
        <is>
          <t>10913</t>
        </is>
      </c>
      <c r="B314" s="17" t="inlineStr">
        <is>
          <t>FarmaVita</t>
        </is>
      </c>
      <c r="C314" s="16" t="inlineStr">
        <is>
          <t>8022033102164</t>
        </is>
      </c>
      <c r="D314" s="17" t="inlineStr">
        <is>
          <t>Life color plus 100ml  912</t>
        </is>
      </c>
      <c r="E314" s="18" t="n">
        <v>6</v>
      </c>
      <c r="F314" s="18" t="n">
        <v>72</v>
      </c>
      <c r="G314" s="18" t="n">
        <v>30</v>
      </c>
      <c r="H314" s="18" t="n">
        <v>30</v>
      </c>
      <c r="I314" s="18" t="n"/>
      <c r="J314" s="18" t="n"/>
      <c r="K314" s="19">
        <f>H314+I314+J314</f>
        <v/>
      </c>
      <c r="L314" s="19">
        <f>K314-G314</f>
        <v/>
      </c>
      <c r="M314" s="20">
        <f>L314*E314</f>
        <v/>
      </c>
      <c r="N314" s="20" t="n">
        <v>50</v>
      </c>
      <c r="O314" s="20" t="n"/>
      <c r="P314" s="20">
        <f>O314-N314</f>
        <v/>
      </c>
      <c r="Q314" s="20">
        <f>P314*E314</f>
        <v/>
      </c>
      <c r="R314" s="20" t="n"/>
    </row>
    <row r="315" ht="20" customHeight="1" s="1">
      <c r="A315" s="21" t="inlineStr">
        <is>
          <t>10966</t>
        </is>
      </c>
      <c r="B315" s="22" t="inlineStr">
        <is>
          <t>FarmaVita</t>
        </is>
      </c>
      <c r="C315" s="21" t="inlineStr">
        <is>
          <t>8022033007094</t>
        </is>
      </c>
      <c r="D315" s="22" t="inlineStr">
        <is>
          <t>Life color plus 100ml  10.0</t>
        </is>
      </c>
      <c r="E315" s="23" t="n">
        <v>6</v>
      </c>
      <c r="F315" s="23" t="n">
        <v>72</v>
      </c>
      <c r="G315" s="23" t="n">
        <v>38</v>
      </c>
      <c r="H315" s="23" t="n">
        <v>2</v>
      </c>
      <c r="I315" s="23" t="n">
        <v>36</v>
      </c>
      <c r="J315" s="23" t="n"/>
      <c r="K315" s="19">
        <f>H315+I315+J315</f>
        <v/>
      </c>
      <c r="L315" s="19">
        <f>K315-G315</f>
        <v/>
      </c>
      <c r="M315" s="20">
        <f>L315*E315</f>
        <v/>
      </c>
      <c r="N315" s="20" t="n">
        <v>50</v>
      </c>
      <c r="O315" s="20" t="n"/>
      <c r="P315" s="20">
        <f>O315-N315</f>
        <v/>
      </c>
      <c r="Q315" s="20">
        <f>P315*E315</f>
        <v/>
      </c>
      <c r="R315" s="20" t="n"/>
    </row>
    <row r="316" ht="20" customHeight="1" s="1">
      <c r="A316" s="16" t="inlineStr">
        <is>
          <t>10950</t>
        </is>
      </c>
      <c r="B316" s="17" t="inlineStr">
        <is>
          <t>FarmaVita</t>
        </is>
      </c>
      <c r="C316" s="16" t="inlineStr">
        <is>
          <t>8022033007995</t>
        </is>
      </c>
      <c r="D316" s="17" t="inlineStr">
        <is>
          <t>Life color plus 100ml  10.00</t>
        </is>
      </c>
      <c r="E316" s="18" t="n">
        <v>6</v>
      </c>
      <c r="F316" s="18" t="n">
        <v>72</v>
      </c>
      <c r="G316" s="18" t="n">
        <v>63</v>
      </c>
      <c r="H316" s="18" t="n"/>
      <c r="I316" s="18" t="n"/>
      <c r="J316" s="18" t="n"/>
      <c r="K316" s="19" t="n"/>
      <c r="L316" s="19" t="n"/>
      <c r="M316" s="20" t="n"/>
      <c r="N316" s="20" t="n">
        <v>50</v>
      </c>
      <c r="O316" s="20" t="n"/>
      <c r="P316" s="20">
        <f>O316-N316</f>
        <v/>
      </c>
      <c r="Q316" s="20">
        <f>P316*E316</f>
        <v/>
      </c>
      <c r="R316" s="20" t="n"/>
    </row>
    <row r="317" ht="20" customHeight="1" s="1">
      <c r="A317" s="21" t="inlineStr">
        <is>
          <t>11132</t>
        </is>
      </c>
      <c r="B317" s="22" t="inlineStr">
        <is>
          <t>FarmaVita</t>
        </is>
      </c>
      <c r="C317" s="21" t="inlineStr">
        <is>
          <t>8022033007636</t>
        </is>
      </c>
      <c r="D317" s="22" t="inlineStr">
        <is>
          <t>Life color plus 100ml  10.02</t>
        </is>
      </c>
      <c r="E317" s="23" t="n">
        <v>6</v>
      </c>
      <c r="F317" s="23" t="n">
        <v>72</v>
      </c>
      <c r="G317" s="23" t="n">
        <v>3</v>
      </c>
      <c r="H317" s="23" t="n">
        <v>3</v>
      </c>
      <c r="I317" s="23" t="n"/>
      <c r="J317" s="23" t="n"/>
      <c r="K317" s="19">
        <f>H317+I317+J317</f>
        <v/>
      </c>
      <c r="L317" s="19">
        <f>K317-G317</f>
        <v/>
      </c>
      <c r="M317" s="20">
        <f>L317*E317</f>
        <v/>
      </c>
      <c r="N317" s="20" t="n">
        <v>50</v>
      </c>
      <c r="O317" s="20" t="n"/>
      <c r="P317" s="20">
        <f>O317-N317</f>
        <v/>
      </c>
      <c r="Q317" s="20">
        <f>P317*E317</f>
        <v/>
      </c>
      <c r="R317" s="20" t="n"/>
    </row>
    <row r="318" ht="20" customHeight="1" s="1">
      <c r="A318" s="16" t="inlineStr">
        <is>
          <t>19474</t>
        </is>
      </c>
      <c r="B318" s="17" t="inlineStr">
        <is>
          <t>FarmaVita</t>
        </is>
      </c>
      <c r="C318" s="16" t="inlineStr">
        <is>
          <t>8022033108739</t>
        </is>
      </c>
      <c r="D318" s="17" t="inlineStr">
        <is>
          <t>Life color plus 100ml  10.021</t>
        </is>
      </c>
      <c r="E318" s="18" t="n">
        <v>6</v>
      </c>
      <c r="F318" s="18" t="n">
        <v>72</v>
      </c>
      <c r="G318" s="18" t="n">
        <v>13</v>
      </c>
      <c r="H318" s="18" t="n"/>
      <c r="I318" s="18" t="n"/>
      <c r="J318" s="18" t="n"/>
      <c r="K318" s="19" t="n"/>
      <c r="L318" s="19" t="n"/>
      <c r="M318" s="20" t="n"/>
      <c r="N318" s="20" t="n">
        <v>50</v>
      </c>
      <c r="O318" s="20" t="n"/>
      <c r="P318" s="20">
        <f>O318-N318</f>
        <v/>
      </c>
      <c r="Q318" s="20">
        <f>P318*E318</f>
        <v/>
      </c>
      <c r="R318" s="20" t="n"/>
    </row>
    <row r="319" ht="20" customHeight="1" s="1">
      <c r="A319" s="21" t="inlineStr">
        <is>
          <t>10918</t>
        </is>
      </c>
      <c r="B319" s="22" t="inlineStr">
        <is>
          <t>FarmaVita</t>
        </is>
      </c>
      <c r="C319" s="21" t="inlineStr">
        <is>
          <t>8022033007322</t>
        </is>
      </c>
      <c r="D319" s="22" t="inlineStr">
        <is>
          <t>Life color plus 100ml  10.1</t>
        </is>
      </c>
      <c r="E319" s="23" t="n">
        <v>6</v>
      </c>
      <c r="F319" s="23" t="n">
        <v>72</v>
      </c>
      <c r="G319" s="23" t="n">
        <v>38</v>
      </c>
      <c r="H319" s="23" t="n">
        <v>38</v>
      </c>
      <c r="I319" s="23" t="n"/>
      <c r="J319" s="23" t="n"/>
      <c r="K319" s="19">
        <f>H319+I319+J319</f>
        <v/>
      </c>
      <c r="L319" s="19">
        <f>K319-G319</f>
        <v/>
      </c>
      <c r="M319" s="20">
        <f>L319*E319</f>
        <v/>
      </c>
      <c r="N319" s="20" t="n">
        <v>50</v>
      </c>
      <c r="O319" s="20" t="n"/>
      <c r="P319" s="20">
        <f>O319-N319</f>
        <v/>
      </c>
      <c r="Q319" s="20">
        <f>P319*E319</f>
        <v/>
      </c>
      <c r="R319" s="20" t="n"/>
    </row>
    <row r="320" ht="20" customHeight="1" s="1">
      <c r="A320" s="16" t="inlineStr">
        <is>
          <t>11038</t>
        </is>
      </c>
      <c r="B320" s="17" t="inlineStr">
        <is>
          <t>FarmaVita</t>
        </is>
      </c>
      <c r="C320" s="16" t="inlineStr">
        <is>
          <t>8022033102096</t>
        </is>
      </c>
      <c r="D320" s="17" t="inlineStr">
        <is>
          <t>Life color plus 100ml  10.102</t>
        </is>
      </c>
      <c r="E320" s="18" t="n">
        <v>6</v>
      </c>
      <c r="F320" s="18" t="n">
        <v>72</v>
      </c>
      <c r="G320" s="18" t="n">
        <v>10</v>
      </c>
      <c r="H320" s="18" t="n">
        <v>10</v>
      </c>
      <c r="I320" s="18" t="n"/>
      <c r="J320" s="18" t="n"/>
      <c r="K320" s="19">
        <f>H320+I320+J320</f>
        <v/>
      </c>
      <c r="L320" s="19">
        <f>K320-G320</f>
        <v/>
      </c>
      <c r="M320" s="20">
        <f>L320*E320</f>
        <v/>
      </c>
      <c r="N320" s="20" t="n">
        <v>50</v>
      </c>
      <c r="O320" s="20" t="n"/>
      <c r="P320" s="20">
        <f>O320-N320</f>
        <v/>
      </c>
      <c r="Q320" s="20">
        <f>P320*E320</f>
        <v/>
      </c>
      <c r="R320" s="20" t="n"/>
    </row>
    <row r="321" ht="20" customHeight="1" s="1">
      <c r="A321" s="21" t="inlineStr">
        <is>
          <t>11362</t>
        </is>
      </c>
      <c r="B321" s="22" t="inlineStr">
        <is>
          <t>FarmaVita</t>
        </is>
      </c>
      <c r="C321" s="21" t="inlineStr">
        <is>
          <t>8022033102089</t>
        </is>
      </c>
      <c r="D321" s="22" t="inlineStr">
        <is>
          <t>Life color plus 100ml  10.11</t>
        </is>
      </c>
      <c r="E321" s="23" t="n">
        <v>6</v>
      </c>
      <c r="F321" s="23" t="n">
        <v>72</v>
      </c>
      <c r="G321" s="23" t="n">
        <v>12</v>
      </c>
      <c r="H321" s="23" t="n">
        <v>12</v>
      </c>
      <c r="I321" s="23" t="n"/>
      <c r="J321" s="23" t="n"/>
      <c r="K321" s="19">
        <f>H321+I321+J321</f>
        <v/>
      </c>
      <c r="L321" s="19">
        <f>K321-G321</f>
        <v/>
      </c>
      <c r="M321" s="20">
        <f>L321*E321</f>
        <v/>
      </c>
      <c r="N321" s="20" t="n">
        <v>50</v>
      </c>
      <c r="O321" s="20" t="n"/>
      <c r="P321" s="20">
        <f>O321-N321</f>
        <v/>
      </c>
      <c r="Q321" s="20">
        <f>P321*E321</f>
        <v/>
      </c>
      <c r="R321" s="20" t="n"/>
    </row>
    <row r="322" ht="20" customHeight="1" s="1">
      <c r="A322" s="16" t="inlineStr">
        <is>
          <t>11215</t>
        </is>
      </c>
      <c r="B322" s="17" t="inlineStr">
        <is>
          <t>FarmaVita</t>
        </is>
      </c>
      <c r="C322" s="16" t="inlineStr">
        <is>
          <t>8022033102072</t>
        </is>
      </c>
      <c r="D322" s="17" t="inlineStr">
        <is>
          <t>Life color plus 100ml  10.12</t>
        </is>
      </c>
      <c r="E322" s="18" t="n">
        <v>6</v>
      </c>
      <c r="F322" s="18" t="n">
        <v>72</v>
      </c>
      <c r="G322" s="18" t="n">
        <v>20</v>
      </c>
      <c r="H322" s="18" t="n">
        <v>20</v>
      </c>
      <c r="I322" s="18" t="n"/>
      <c r="J322" s="18" t="n"/>
      <c r="K322" s="19">
        <f>H322+I322+J322</f>
        <v/>
      </c>
      <c r="L322" s="19">
        <f>K322-G322</f>
        <v/>
      </c>
      <c r="M322" s="20">
        <f>L322*E322</f>
        <v/>
      </c>
      <c r="N322" s="20" t="n">
        <v>50</v>
      </c>
      <c r="O322" s="20" t="n"/>
      <c r="P322" s="20">
        <f>O322-N322</f>
        <v/>
      </c>
      <c r="Q322" s="20">
        <f>P322*E322</f>
        <v/>
      </c>
      <c r="R322" s="20" t="n"/>
    </row>
    <row r="323" ht="20" customHeight="1" s="1">
      <c r="A323" s="21" t="inlineStr">
        <is>
          <t>11082</t>
        </is>
      </c>
      <c r="B323" s="22" t="inlineStr">
        <is>
          <t>FarmaVita</t>
        </is>
      </c>
      <c r="C323" s="21" t="inlineStr">
        <is>
          <t>8022033102102</t>
        </is>
      </c>
      <c r="D323" s="22" t="inlineStr">
        <is>
          <t>Life color plus 100ml  10.21</t>
        </is>
      </c>
      <c r="E323" s="23" t="n">
        <v>6</v>
      </c>
      <c r="F323" s="23" t="n">
        <v>72</v>
      </c>
      <c r="G323" s="23" t="n">
        <v>14</v>
      </c>
      <c r="H323" s="23" t="n"/>
      <c r="I323" s="23" t="n"/>
      <c r="J323" s="23" t="n"/>
      <c r="K323" s="19" t="n"/>
      <c r="L323" s="19" t="n"/>
      <c r="M323" s="20" t="n"/>
      <c r="N323" s="20" t="n">
        <v>50</v>
      </c>
      <c r="O323" s="20" t="n"/>
      <c r="P323" s="20">
        <f>O323-N323</f>
        <v/>
      </c>
      <c r="Q323" s="20">
        <f>P323*E323</f>
        <v/>
      </c>
      <c r="R323" s="20" t="n"/>
    </row>
    <row r="324" ht="20" customHeight="1" s="1">
      <c r="A324" s="16" t="inlineStr">
        <is>
          <t>19473</t>
        </is>
      </c>
      <c r="B324" s="17" t="inlineStr">
        <is>
          <t>FarmaVita</t>
        </is>
      </c>
      <c r="C324" s="16" t="inlineStr">
        <is>
          <t>8022033108708</t>
        </is>
      </c>
      <c r="D324" s="17" t="inlineStr">
        <is>
          <t>Life color plus 100ml  10.26</t>
        </is>
      </c>
      <c r="E324" s="18" t="n">
        <v>6</v>
      </c>
      <c r="F324" s="18" t="n">
        <v>72</v>
      </c>
      <c r="G324" s="18" t="n">
        <v>22</v>
      </c>
      <c r="H324" s="18" t="n">
        <v>22</v>
      </c>
      <c r="I324" s="18" t="n"/>
      <c r="J324" s="18" t="n"/>
      <c r="K324" s="19">
        <f>H324+I324+J324</f>
        <v/>
      </c>
      <c r="L324" s="19">
        <f>K324-G324</f>
        <v/>
      </c>
      <c r="M324" s="20">
        <f>L324*E324</f>
        <v/>
      </c>
      <c r="N324" s="20" t="n">
        <v>50</v>
      </c>
      <c r="O324" s="20" t="n"/>
      <c r="P324" s="20">
        <f>O324-N324</f>
        <v/>
      </c>
      <c r="Q324" s="20">
        <f>P324*E324</f>
        <v/>
      </c>
      <c r="R324" s="20" t="n"/>
    </row>
    <row r="325" ht="20" customHeight="1" s="1">
      <c r="A325" s="21" t="inlineStr">
        <is>
          <t>19475</t>
        </is>
      </c>
      <c r="B325" s="22" t="inlineStr">
        <is>
          <t>FarmaVita</t>
        </is>
      </c>
      <c r="C325" s="21" t="inlineStr">
        <is>
          <t>8022033108647</t>
        </is>
      </c>
      <c r="D325" s="22" t="inlineStr">
        <is>
          <t>Life color plus 100ml  10.34</t>
        </is>
      </c>
      <c r="E325" s="23" t="n">
        <v>6</v>
      </c>
      <c r="F325" s="23" t="n">
        <v>72</v>
      </c>
      <c r="G325" s="23" t="n">
        <v>23</v>
      </c>
      <c r="H325" s="23" t="n">
        <v>23</v>
      </c>
      <c r="I325" s="23" t="n"/>
      <c r="J325" s="23" t="n"/>
      <c r="K325" s="19">
        <f>H325+I325+J325</f>
        <v/>
      </c>
      <c r="L325" s="19">
        <f>K325-G325</f>
        <v/>
      </c>
      <c r="M325" s="20">
        <f>L325*E325</f>
        <v/>
      </c>
      <c r="N325" s="20" t="n">
        <v>50</v>
      </c>
      <c r="O325" s="20" t="n"/>
      <c r="P325" s="20">
        <f>O325-N325</f>
        <v/>
      </c>
      <c r="Q325" s="20">
        <f>P325*E325</f>
        <v/>
      </c>
      <c r="R325" s="20" t="n"/>
    </row>
    <row r="326" ht="20" customHeight="1" s="1">
      <c r="A326" s="16" t="inlineStr">
        <is>
          <t>19472</t>
        </is>
      </c>
      <c r="B326" s="17" t="inlineStr">
        <is>
          <t>FarmaVita</t>
        </is>
      </c>
      <c r="C326" s="16" t="inlineStr">
        <is>
          <t>8022033108661</t>
        </is>
      </c>
      <c r="D326" s="17" t="inlineStr">
        <is>
          <t>Life color plus 100ml  10.5</t>
        </is>
      </c>
      <c r="E326" s="18" t="n">
        <v>6</v>
      </c>
      <c r="F326" s="18" t="n">
        <v>72</v>
      </c>
      <c r="G326" s="18" t="n">
        <v>53</v>
      </c>
      <c r="H326" s="18" t="n">
        <v>53</v>
      </c>
      <c r="I326" s="18" t="n"/>
      <c r="J326" s="18" t="n"/>
      <c r="K326" s="19">
        <f>H326+I326+J326</f>
        <v/>
      </c>
      <c r="L326" s="19">
        <f>K326-G326</f>
        <v/>
      </c>
      <c r="M326" s="20">
        <f>L326*E326</f>
        <v/>
      </c>
      <c r="N326" s="20" t="n">
        <v>50</v>
      </c>
      <c r="O326" s="20" t="n"/>
      <c r="P326" s="20">
        <f>O326-N326</f>
        <v/>
      </c>
      <c r="Q326" s="20">
        <f>P326*E326</f>
        <v/>
      </c>
      <c r="R326" s="20" t="n"/>
    </row>
    <row r="327" ht="20" customHeight="1" s="1">
      <c r="A327" s="21" t="inlineStr">
        <is>
          <t>11172</t>
        </is>
      </c>
      <c r="B327" s="22" t="inlineStr">
        <is>
          <t>FarmaVita</t>
        </is>
      </c>
      <c r="C327" s="21" t="inlineStr">
        <is>
          <t>8022033006905</t>
        </is>
      </c>
      <c r="D327" s="22" t="inlineStr">
        <is>
          <t>Life color plus 100ml  10.8 (10.7)</t>
        </is>
      </c>
      <c r="E327" s="23" t="n">
        <v>6</v>
      </c>
      <c r="F327" s="23" t="n">
        <v>72</v>
      </c>
      <c r="G327" s="23" t="n">
        <v>113</v>
      </c>
      <c r="H327" s="23" t="n">
        <v>39</v>
      </c>
      <c r="I327" s="23" t="n">
        <v>74</v>
      </c>
      <c r="J327" s="23" t="n"/>
      <c r="K327" s="19">
        <f>H327+I327+J327</f>
        <v/>
      </c>
      <c r="L327" s="19">
        <f>K327-G327</f>
        <v/>
      </c>
      <c r="M327" s="20">
        <f>L327*E327</f>
        <v/>
      </c>
      <c r="N327" s="20" t="n">
        <v>50</v>
      </c>
      <c r="O327" s="20" t="n"/>
      <c r="P327" s="20">
        <f>O327-N327</f>
        <v/>
      </c>
      <c r="Q327" s="20">
        <f>P327*E327</f>
        <v/>
      </c>
      <c r="R327" s="20" t="n"/>
    </row>
    <row r="328" ht="20" customHeight="1" s="1">
      <c r="A328" s="16" t="inlineStr">
        <is>
          <t>11037</t>
        </is>
      </c>
      <c r="B328" s="17" t="inlineStr">
        <is>
          <t>FarmaVita</t>
        </is>
      </c>
      <c r="C328" s="16" t="inlineStr">
        <is>
          <t>8022033102133</t>
        </is>
      </c>
      <c r="D328" s="17" t="inlineStr">
        <is>
          <t>Life color plus 100ml 10.82 (10.72)</t>
        </is>
      </c>
      <c r="E328" s="18" t="n">
        <v>6</v>
      </c>
      <c r="F328" s="18" t="n">
        <v>72</v>
      </c>
      <c r="G328" s="18" t="n">
        <v>22</v>
      </c>
      <c r="H328" s="18" t="n">
        <v>22</v>
      </c>
      <c r="I328" s="18" t="n"/>
      <c r="J328" s="18" t="n"/>
      <c r="K328" s="19">
        <f>H328+I328+J328</f>
        <v/>
      </c>
      <c r="L328" s="19">
        <f>K328-G328</f>
        <v/>
      </c>
      <c r="M328" s="20">
        <f>L328*E328</f>
        <v/>
      </c>
      <c r="N328" s="20" t="n">
        <v>50</v>
      </c>
      <c r="O328" s="20" t="n"/>
      <c r="P328" s="20">
        <f>O328-N328</f>
        <v/>
      </c>
      <c r="Q328" s="20">
        <f>P328*E328</f>
        <v/>
      </c>
      <c r="R328" s="20" t="n"/>
    </row>
    <row r="329" ht="20" customHeight="1" s="1">
      <c r="A329" s="21" t="inlineStr">
        <is>
          <t>10831</t>
        </is>
      </c>
      <c r="B329" s="22" t="inlineStr">
        <is>
          <t>FarmaVita</t>
        </is>
      </c>
      <c r="C329" s="21" t="inlineStr">
        <is>
          <t>8022033006929</t>
        </is>
      </c>
      <c r="D329" s="22" t="inlineStr">
        <is>
          <t>Life color plus 100ml  12.1</t>
        </is>
      </c>
      <c r="E329" s="23" t="n">
        <v>6</v>
      </c>
      <c r="F329" s="23" t="n">
        <v>72</v>
      </c>
      <c r="G329" s="23" t="n">
        <v>18</v>
      </c>
      <c r="H329" s="23" t="n">
        <v>18</v>
      </c>
      <c r="I329" s="23" t="n"/>
      <c r="J329" s="23" t="n"/>
      <c r="K329" s="19">
        <f>H329+I329+J329</f>
        <v/>
      </c>
      <c r="L329" s="19">
        <f>K329-G329</f>
        <v/>
      </c>
      <c r="M329" s="20">
        <f>L329*E329</f>
        <v/>
      </c>
      <c r="N329" s="20" t="n">
        <v>50</v>
      </c>
      <c r="O329" s="20" t="n"/>
      <c r="P329" s="20">
        <f>O329-N329</f>
        <v/>
      </c>
      <c r="Q329" s="20">
        <f>P329*E329</f>
        <v/>
      </c>
      <c r="R329" s="20" t="n"/>
    </row>
    <row r="330" ht="20" customHeight="1" s="1">
      <c r="A330" s="16" t="inlineStr">
        <is>
          <t>11930</t>
        </is>
      </c>
      <c r="B330" s="17" t="inlineStr">
        <is>
          <t>FarmaVita</t>
        </is>
      </c>
      <c r="C330" s="16" t="inlineStr">
        <is>
          <t>8022033008022</t>
        </is>
      </c>
      <c r="D330" s="17" t="inlineStr">
        <is>
          <t>Life color plus 100ml 12.61</t>
        </is>
      </c>
      <c r="E330" s="18" t="n">
        <v>6</v>
      </c>
      <c r="F330" s="18" t="n">
        <v>72</v>
      </c>
      <c r="G330" s="18" t="n">
        <v>16</v>
      </c>
      <c r="H330" s="18" t="n">
        <v>16</v>
      </c>
      <c r="I330" s="18" t="n"/>
      <c r="J330" s="18" t="n"/>
      <c r="K330" s="19">
        <f>H330+I330+J330</f>
        <v/>
      </c>
      <c r="L330" s="19">
        <f>K330-G330</f>
        <v/>
      </c>
      <c r="M330" s="20">
        <f>L330*E330</f>
        <v/>
      </c>
      <c r="N330" s="20" t="n">
        <v>50</v>
      </c>
      <c r="O330" s="20" t="n"/>
      <c r="P330" s="20">
        <f>O330-N330</f>
        <v/>
      </c>
      <c r="Q330" s="20">
        <f>P330*E330</f>
        <v/>
      </c>
      <c r="R330" s="20" t="n"/>
    </row>
    <row r="331" ht="20" customHeight="1" s="1">
      <c r="A331" s="21" t="inlineStr">
        <is>
          <t>11931</t>
        </is>
      </c>
      <c r="B331" s="22" t="inlineStr">
        <is>
          <t>FarmaVita</t>
        </is>
      </c>
      <c r="C331" s="21" t="inlineStr">
        <is>
          <t>8022033008015</t>
        </is>
      </c>
      <c r="D331" s="22" t="inlineStr">
        <is>
          <t>Life color plus 100ml 12.81</t>
        </is>
      </c>
      <c r="E331" s="23" t="n">
        <v>6</v>
      </c>
      <c r="F331" s="23" t="n">
        <v>72</v>
      </c>
      <c r="G331" s="23" t="n">
        <v>7</v>
      </c>
      <c r="H331" s="23" t="n">
        <v>7</v>
      </c>
      <c r="I331" s="23" t="n"/>
      <c r="J331" s="23" t="n"/>
      <c r="K331" s="19">
        <f>H331+I331+J331</f>
        <v/>
      </c>
      <c r="L331" s="19">
        <f>K331-G331</f>
        <v/>
      </c>
      <c r="M331" s="20">
        <f>L331*E331</f>
        <v/>
      </c>
      <c r="N331" s="20" t="n">
        <v>50</v>
      </c>
      <c r="O331" s="20" t="n"/>
      <c r="P331" s="20">
        <f>O331-N331</f>
        <v/>
      </c>
      <c r="Q331" s="20">
        <f>P331*E331</f>
        <v/>
      </c>
      <c r="R331" s="20" t="n"/>
    </row>
    <row r="332" ht="20" customHeight="1" s="1">
      <c r="A332" s="16" t="inlineStr">
        <is>
          <t>11854</t>
        </is>
      </c>
      <c r="B332" s="17" t="inlineStr">
        <is>
          <t>FarmaVita</t>
        </is>
      </c>
      <c r="C332" s="16" t="inlineStr">
        <is>
          <t>8022033008039</t>
        </is>
      </c>
      <c r="D332" s="17" t="inlineStr">
        <is>
          <t>Life color plus 100ml 12.89</t>
        </is>
      </c>
      <c r="E332" s="18" t="n">
        <v>6</v>
      </c>
      <c r="F332" s="18" t="n">
        <v>72</v>
      </c>
      <c r="G332" s="18" t="n">
        <v>41</v>
      </c>
      <c r="H332" s="18" t="n">
        <v>41</v>
      </c>
      <c r="I332" s="18" t="n"/>
      <c r="J332" s="18" t="n"/>
      <c r="K332" s="19">
        <f>H332+I332+J332</f>
        <v/>
      </c>
      <c r="L332" s="19">
        <f>K332-G332</f>
        <v/>
      </c>
      <c r="M332" s="20">
        <f>L332*E332</f>
        <v/>
      </c>
      <c r="N332" s="20" t="n">
        <v>50</v>
      </c>
      <c r="O332" s="20" t="n"/>
      <c r="P332" s="20">
        <f>O332-N332</f>
        <v/>
      </c>
      <c r="Q332" s="20">
        <f>P332*E332</f>
        <v/>
      </c>
      <c r="R332" s="20" t="n"/>
    </row>
    <row r="333" ht="20" customHeight="1" s="1">
      <c r="A333" s="21" t="inlineStr">
        <is>
          <t>11929</t>
        </is>
      </c>
      <c r="B333" s="22" t="inlineStr">
        <is>
          <t>FarmaVita</t>
        </is>
      </c>
      <c r="C333" s="21" t="inlineStr">
        <is>
          <t>8022033008008</t>
        </is>
      </c>
      <c r="D333" s="22" t="inlineStr">
        <is>
          <t>Life color plus 100ml 12.16</t>
        </is>
      </c>
      <c r="E333" s="23" t="n">
        <v>6</v>
      </c>
      <c r="F333" s="23" t="n">
        <v>72</v>
      </c>
      <c r="G333" s="23" t="n">
        <v>13</v>
      </c>
      <c r="H333" s="23" t="n">
        <v>13</v>
      </c>
      <c r="I333" s="23" t="n"/>
      <c r="J333" s="23" t="n"/>
      <c r="K333" s="19">
        <f>H333+I333+J333</f>
        <v/>
      </c>
      <c r="L333" s="19">
        <f>K333-G333</f>
        <v/>
      </c>
      <c r="M333" s="20">
        <f>L333*E333</f>
        <v/>
      </c>
      <c r="N333" s="20" t="n">
        <v>50</v>
      </c>
      <c r="O333" s="20" t="n"/>
      <c r="P333" s="20">
        <f>O333-N333</f>
        <v/>
      </c>
      <c r="Q333" s="20">
        <f>P333*E333</f>
        <v/>
      </c>
      <c r="R333" s="20" t="n"/>
    </row>
    <row r="334" ht="20" customHeight="1" s="1">
      <c r="A334" s="16" t="inlineStr">
        <is>
          <t>11361</t>
        </is>
      </c>
      <c r="B334" s="17" t="inlineStr">
        <is>
          <t>FarmaVita</t>
        </is>
      </c>
      <c r="C334" s="16" t="inlineStr">
        <is>
          <t>8022033102157</t>
        </is>
      </c>
      <c r="D334" s="17" t="inlineStr">
        <is>
          <t>Life color plus 100ml  12.43</t>
        </is>
      </c>
      <c r="E334" s="18" t="n">
        <v>6</v>
      </c>
      <c r="F334" s="18" t="n">
        <v>72</v>
      </c>
      <c r="G334" s="18" t="n">
        <v>0</v>
      </c>
      <c r="H334" s="18" t="n"/>
      <c r="I334" s="18" t="n"/>
      <c r="J334" s="18" t="n"/>
      <c r="K334" s="19">
        <f>H334+I334+J334</f>
        <v/>
      </c>
      <c r="L334" s="19">
        <f>K334-G334</f>
        <v/>
      </c>
      <c r="M334" s="20">
        <f>L334*E334</f>
        <v/>
      </c>
      <c r="N334" s="20" t="n">
        <v>50</v>
      </c>
      <c r="O334" s="20" t="n"/>
      <c r="P334" s="20">
        <f>O334-N334</f>
        <v/>
      </c>
      <c r="Q334" s="20">
        <f>P334*E334</f>
        <v/>
      </c>
      <c r="R334" s="20" t="n"/>
    </row>
    <row r="335" ht="20" customHeight="1" s="1">
      <c r="A335" s="21" t="inlineStr">
        <is>
          <t>12212</t>
        </is>
      </c>
      <c r="B335" s="22" t="inlineStr">
        <is>
          <t>FarmaVita</t>
        </is>
      </c>
      <c r="C335" s="21" t="inlineStr">
        <is>
          <t>8022033006981</t>
        </is>
      </c>
      <c r="D335" s="22" t="inlineStr">
        <is>
          <t>Life color plus 100 ml ORANGE 0.44</t>
        </is>
      </c>
      <c r="E335" s="23" t="n">
        <v>6</v>
      </c>
      <c r="F335" s="23" t="n">
        <v>72</v>
      </c>
      <c r="G335" s="23" t="n">
        <v>22</v>
      </c>
      <c r="H335" s="23" t="n">
        <v>22</v>
      </c>
      <c r="I335" s="23" t="n"/>
      <c r="J335" s="23" t="n"/>
      <c r="K335" s="19">
        <f>H335+I335+J335</f>
        <v/>
      </c>
      <c r="L335" s="19">
        <f>K335-G335</f>
        <v/>
      </c>
      <c r="M335" s="20">
        <f>L335*E335</f>
        <v/>
      </c>
      <c r="N335" s="20" t="n">
        <v>50</v>
      </c>
      <c r="O335" s="20" t="n"/>
      <c r="P335" s="20">
        <f>O335-N335</f>
        <v/>
      </c>
      <c r="Q335" s="20">
        <f>P335*E335</f>
        <v/>
      </c>
      <c r="R335" s="20" t="n"/>
    </row>
    <row r="336" ht="20" customHeight="1" s="1">
      <c r="A336" s="16" t="inlineStr">
        <is>
          <t>22230</t>
        </is>
      </c>
      <c r="B336" s="17" t="inlineStr">
        <is>
          <t>FarmaVita</t>
        </is>
      </c>
      <c r="C336" s="16" t="inlineStr">
        <is>
          <t>8022033112828</t>
        </is>
      </c>
      <c r="D336" s="17" t="inlineStr">
        <is>
          <t>Life color plus 100ml Blue</t>
        </is>
      </c>
      <c r="E336" s="18" t="n">
        <v>6</v>
      </c>
      <c r="F336" s="18" t="n">
        <v>72</v>
      </c>
      <c r="G336" s="18" t="n">
        <v>0</v>
      </c>
      <c r="H336" s="18" t="n"/>
      <c r="I336" s="18" t="n"/>
      <c r="J336" s="18" t="n"/>
      <c r="K336" s="19">
        <f>H336+I336+J336</f>
        <v/>
      </c>
      <c r="L336" s="19">
        <f>K336-G336</f>
        <v/>
      </c>
      <c r="M336" s="20">
        <f>L336*E336</f>
        <v/>
      </c>
      <c r="N336" s="20" t="n">
        <v>50</v>
      </c>
      <c r="O336" s="20" t="n"/>
      <c r="P336" s="20">
        <f>O336-N336</f>
        <v/>
      </c>
      <c r="Q336" s="20">
        <f>P336*E336</f>
        <v/>
      </c>
      <c r="R336" s="20" t="n"/>
    </row>
    <row r="337" ht="20" customHeight="1" s="1">
      <c r="A337" s="21" t="inlineStr">
        <is>
          <t>22227</t>
        </is>
      </c>
      <c r="B337" s="22" t="inlineStr">
        <is>
          <t>FarmaVita</t>
        </is>
      </c>
      <c r="C337" s="21" t="inlineStr">
        <is>
          <t>8022033112866</t>
        </is>
      </c>
      <c r="D337" s="22" t="inlineStr">
        <is>
          <t>Life color plus 100ml Violet</t>
        </is>
      </c>
      <c r="E337" s="23" t="n">
        <v>6</v>
      </c>
      <c r="F337" s="23" t="n">
        <v>72</v>
      </c>
      <c r="G337" s="23" t="n">
        <v>0</v>
      </c>
      <c r="H337" s="23" t="n"/>
      <c r="I337" s="23" t="n"/>
      <c r="J337" s="23" t="n"/>
      <c r="K337" s="19">
        <f>H337+I337+J337</f>
        <v/>
      </c>
      <c r="L337" s="19">
        <f>K337-G337</f>
        <v/>
      </c>
      <c r="M337" s="20">
        <f>L337*E337</f>
        <v/>
      </c>
      <c r="N337" s="20" t="n">
        <v>50</v>
      </c>
      <c r="O337" s="20" t="n"/>
      <c r="P337" s="20">
        <f>O337-N337</f>
        <v/>
      </c>
      <c r="Q337" s="20">
        <f>P337*E337</f>
        <v/>
      </c>
      <c r="R337" s="20" t="n"/>
    </row>
    <row r="338" ht="20" customHeight="1" s="1">
      <c r="A338" s="16" t="inlineStr">
        <is>
          <t>22231</t>
        </is>
      </c>
      <c r="B338" s="17" t="inlineStr">
        <is>
          <t>FarmaVita</t>
        </is>
      </c>
      <c r="C338" s="16" t="inlineStr">
        <is>
          <t>8022033112835</t>
        </is>
      </c>
      <c r="D338" s="17" t="inlineStr">
        <is>
          <t>Life color plus 100ml Green</t>
        </is>
      </c>
      <c r="E338" s="18" t="n">
        <v>6</v>
      </c>
      <c r="F338" s="18" t="n">
        <v>72</v>
      </c>
      <c r="G338" s="18" t="n">
        <v>0</v>
      </c>
      <c r="H338" s="18" t="n"/>
      <c r="I338" s="18" t="n"/>
      <c r="J338" s="18" t="n"/>
      <c r="K338" s="19">
        <f>H338+I338+J338</f>
        <v/>
      </c>
      <c r="L338" s="19">
        <f>K338-G338</f>
        <v/>
      </c>
      <c r="M338" s="20">
        <f>L338*E338</f>
        <v/>
      </c>
      <c r="N338" s="20" t="n">
        <v>50</v>
      </c>
      <c r="O338" s="20" t="n"/>
      <c r="P338" s="20">
        <f>O338-N338</f>
        <v/>
      </c>
      <c r="Q338" s="20">
        <f>P338*E338</f>
        <v/>
      </c>
      <c r="R338" s="20" t="n"/>
    </row>
    <row r="339" ht="20" customHeight="1" s="1">
      <c r="A339" s="21" t="inlineStr">
        <is>
          <t>11435</t>
        </is>
      </c>
      <c r="B339" s="22" t="inlineStr">
        <is>
          <t>FarmaVita</t>
        </is>
      </c>
      <c r="C339" s="21" t="inlineStr">
        <is>
          <t>8022033102140</t>
        </is>
      </c>
      <c r="D339" s="22" t="inlineStr">
        <is>
          <t>Life color plus 100ml  Pink</t>
        </is>
      </c>
      <c r="E339" s="23" t="n">
        <v>6</v>
      </c>
      <c r="F339" s="23" t="n">
        <v>72</v>
      </c>
      <c r="G339" s="23" t="n">
        <v>26</v>
      </c>
      <c r="H339" s="23" t="n">
        <v>26</v>
      </c>
      <c r="I339" s="23" t="n"/>
      <c r="J339" s="23" t="n"/>
      <c r="K339" s="19">
        <f>H339+I339+J339</f>
        <v/>
      </c>
      <c r="L339" s="19">
        <f>K339-G339</f>
        <v/>
      </c>
      <c r="M339" s="20">
        <f>L339*E339</f>
        <v/>
      </c>
      <c r="N339" s="20" t="n">
        <v>50</v>
      </c>
      <c r="O339" s="20" t="n"/>
      <c r="P339" s="20">
        <f>O339-N339</f>
        <v/>
      </c>
      <c r="Q339" s="20">
        <f>P339*E339</f>
        <v/>
      </c>
      <c r="R339" s="20" t="n"/>
    </row>
    <row r="340" ht="20" customHeight="1" s="1">
      <c r="A340" s="16" t="inlineStr">
        <is>
          <t>10072</t>
        </is>
      </c>
      <c r="B340" s="17" t="inlineStr">
        <is>
          <t>FarmaVita</t>
        </is>
      </c>
      <c r="C340" s="16" t="inlineStr">
        <is>
          <t>8022033003881</t>
        </is>
      </c>
      <c r="D340" s="17" t="inlineStr">
        <is>
          <t>NeW life cr.developer 20v 100ml 6%</t>
        </is>
      </c>
      <c r="E340" s="18" t="n">
        <v>1.5</v>
      </c>
      <c r="F340" s="18" t="n">
        <v>72</v>
      </c>
      <c r="G340" s="18" t="n">
        <v>1557</v>
      </c>
      <c r="H340" s="18" t="n"/>
      <c r="I340" s="18" t="n"/>
      <c r="J340" s="18" t="n"/>
      <c r="K340" s="19" t="n"/>
      <c r="L340" s="19" t="n"/>
      <c r="M340" s="20" t="n"/>
      <c r="N340" s="20" t="n">
        <v>50</v>
      </c>
      <c r="O340" s="20" t="n"/>
      <c r="P340" s="20">
        <f>O340-N340</f>
        <v/>
      </c>
      <c r="Q340" s="20">
        <f>P340*E340</f>
        <v/>
      </c>
      <c r="R340" s="20" t="n"/>
    </row>
    <row r="341" ht="20" customHeight="1" s="1">
      <c r="A341" s="21" t="inlineStr">
        <is>
          <t>10169</t>
        </is>
      </c>
      <c r="B341" s="22" t="inlineStr">
        <is>
          <t>FarmaVita</t>
        </is>
      </c>
      <c r="C341" s="21" t="inlineStr">
        <is>
          <t>8022033003898</t>
        </is>
      </c>
      <c r="D341" s="22" t="inlineStr">
        <is>
          <t>NeW life cr.developer 30v 100ml 9%</t>
        </is>
      </c>
      <c r="E341" s="23" t="n">
        <v>1.5</v>
      </c>
      <c r="F341" s="23" t="n">
        <v>72</v>
      </c>
      <c r="G341" s="23" t="n">
        <v>1160</v>
      </c>
      <c r="H341" s="23" t="n"/>
      <c r="I341" s="23" t="n"/>
      <c r="J341" s="23" t="n"/>
      <c r="K341" s="19" t="n"/>
      <c r="L341" s="19" t="n"/>
      <c r="M341" s="20" t="n"/>
      <c r="N341" s="20" t="n">
        <v>50</v>
      </c>
      <c r="O341" s="20" t="n"/>
      <c r="P341" s="20">
        <f>O341-N341</f>
        <v/>
      </c>
      <c r="Q341" s="20">
        <f>P341*E341</f>
        <v/>
      </c>
      <c r="R341" s="20" t="n"/>
    </row>
    <row r="342" ht="20" customHeight="1" s="1">
      <c r="A342" s="16" t="inlineStr">
        <is>
          <t>11377</t>
        </is>
      </c>
      <c r="B342" s="17" t="inlineStr">
        <is>
          <t>FarmaVita</t>
        </is>
      </c>
      <c r="C342" s="16" t="inlineStr">
        <is>
          <t>8022033003850</t>
        </is>
      </c>
      <c r="D342" s="17" t="inlineStr">
        <is>
          <t>NeW life cr.developer 20V 1 LITR</t>
        </is>
      </c>
      <c r="E342" s="18" t="n">
        <v>6.5</v>
      </c>
      <c r="F342" s="18" t="n">
        <v>12</v>
      </c>
      <c r="G342" s="18" t="n">
        <v>63</v>
      </c>
      <c r="H342" s="18" t="n">
        <v>63</v>
      </c>
      <c r="I342" s="18" t="n"/>
      <c r="J342" s="18" t="n"/>
      <c r="K342" s="19">
        <f>H342+I342+J342</f>
        <v/>
      </c>
      <c r="L342" s="19">
        <f>K342-G342</f>
        <v/>
      </c>
      <c r="M342" s="20">
        <f>L342*E342</f>
        <v/>
      </c>
      <c r="N342" s="20" t="n">
        <v>50</v>
      </c>
      <c r="O342" s="20" t="n"/>
      <c r="P342" s="20">
        <f>O342-N342</f>
        <v/>
      </c>
      <c r="Q342" s="20">
        <f>P342*E342</f>
        <v/>
      </c>
      <c r="R342" s="20" t="n"/>
    </row>
    <row r="343" ht="20" customHeight="1" s="1">
      <c r="A343" s="21" t="inlineStr">
        <is>
          <t>11214</t>
        </is>
      </c>
      <c r="B343" s="22" t="inlineStr">
        <is>
          <t>FarmaVita</t>
        </is>
      </c>
      <c r="C343" s="21" t="inlineStr">
        <is>
          <t>8022033003867</t>
        </is>
      </c>
      <c r="D343" s="22" t="inlineStr">
        <is>
          <t>NeW life cr.developer 30V 1 LITR</t>
        </is>
      </c>
      <c r="E343" s="23" t="n">
        <v>6.5</v>
      </c>
      <c r="F343" s="23" t="n">
        <v>12</v>
      </c>
      <c r="G343" s="23" t="n">
        <v>33</v>
      </c>
      <c r="H343" s="23" t="n">
        <v>33</v>
      </c>
      <c r="I343" s="23" t="n"/>
      <c r="J343" s="23" t="n"/>
      <c r="K343" s="19">
        <f>H343+I343+J343</f>
        <v/>
      </c>
      <c r="L343" s="19">
        <f>K343-G343</f>
        <v/>
      </c>
      <c r="M343" s="20">
        <f>L343*E343</f>
        <v/>
      </c>
      <c r="N343" s="20" t="n">
        <v>50</v>
      </c>
      <c r="O343" s="20" t="n"/>
      <c r="P343" s="20">
        <f>O343-N343</f>
        <v/>
      </c>
      <c r="Q343" s="20">
        <f>P343*E343</f>
        <v/>
      </c>
      <c r="R343" s="20" t="n"/>
    </row>
    <row r="344" ht="20" customHeight="1" s="1">
      <c r="A344" s="16" t="inlineStr">
        <is>
          <t>11553</t>
        </is>
      </c>
      <c r="B344" s="17" t="inlineStr">
        <is>
          <t>FarmaVita</t>
        </is>
      </c>
      <c r="C344" s="16" t="inlineStr">
        <is>
          <t>8022033003874</t>
        </is>
      </c>
      <c r="D344" s="17" t="inlineStr">
        <is>
          <t>NeW life cr.developer 40V 1 LITR</t>
        </is>
      </c>
      <c r="E344" s="18" t="n">
        <v>6.5</v>
      </c>
      <c r="F344" s="18" t="n">
        <v>12</v>
      </c>
      <c r="G344" s="18" t="n">
        <v>33</v>
      </c>
      <c r="H344" s="18" t="n"/>
      <c r="I344" s="18" t="n"/>
      <c r="J344" s="18" t="n"/>
      <c r="K344" s="19" t="n"/>
      <c r="L344" s="19" t="n"/>
      <c r="M344" s="20" t="n"/>
      <c r="N344" s="20" t="n">
        <v>50</v>
      </c>
      <c r="O344" s="20" t="n"/>
      <c r="P344" s="20">
        <f>O344-N344</f>
        <v/>
      </c>
      <c r="Q344" s="20">
        <f>P344*E344</f>
        <v/>
      </c>
      <c r="R344" s="20" t="n"/>
    </row>
    <row r="345" ht="20" customHeight="1" s="1">
      <c r="A345" s="21" t="inlineStr">
        <is>
          <t>11133</t>
        </is>
      </c>
      <c r="B345" s="22" t="inlineStr">
        <is>
          <t>FarmaVita</t>
        </is>
      </c>
      <c r="C345" s="21" t="inlineStr">
        <is>
          <t>8022033003942</t>
        </is>
      </c>
      <c r="D345" s="22" t="inlineStr">
        <is>
          <t>NEW Bleachinq povder white bag 500qr ag</t>
        </is>
      </c>
      <c r="E345" s="23" t="n">
        <v>18</v>
      </c>
      <c r="F345" s="23" t="n">
        <v>30</v>
      </c>
      <c r="G345" s="23" t="n">
        <v>31</v>
      </c>
      <c r="H345" s="23" t="n">
        <v>31</v>
      </c>
      <c r="I345" s="23" t="n"/>
      <c r="J345" s="23" t="n"/>
      <c r="K345" s="19">
        <f>H345+I345+J345</f>
        <v/>
      </c>
      <c r="L345" s="19">
        <f>K345-G345</f>
        <v/>
      </c>
      <c r="M345" s="20">
        <f>L345*E345</f>
        <v/>
      </c>
      <c r="N345" s="20" t="n">
        <v>50</v>
      </c>
      <c r="O345" s="20" t="n"/>
      <c r="P345" s="20">
        <f>O345-N345</f>
        <v/>
      </c>
      <c r="Q345" s="20">
        <f>P345*E345</f>
        <v/>
      </c>
      <c r="R345" s="20" t="n"/>
    </row>
    <row r="346" ht="20" customHeight="1" s="1">
      <c r="A346" s="16" t="inlineStr">
        <is>
          <t>11475</t>
        </is>
      </c>
      <c r="B346" s="17" t="inlineStr">
        <is>
          <t>FarmaVita</t>
        </is>
      </c>
      <c r="C346" s="16" t="inlineStr">
        <is>
          <t>8022033003959</t>
        </is>
      </c>
      <c r="D346" s="17" t="inlineStr">
        <is>
          <t>NEW Bleachinq povder blue bag 500qr goy</t>
        </is>
      </c>
      <c r="E346" s="18" t="n">
        <v>18</v>
      </c>
      <c r="F346" s="18" t="n">
        <v>30</v>
      </c>
      <c r="G346" s="18" t="n">
        <v>58</v>
      </c>
      <c r="H346" s="18" t="n">
        <v>58</v>
      </c>
      <c r="I346" s="18" t="n"/>
      <c r="J346" s="18" t="n"/>
      <c r="K346" s="19">
        <f>H346+I346+J346</f>
        <v/>
      </c>
      <c r="L346" s="19">
        <f>K346-G346</f>
        <v/>
      </c>
      <c r="M346" s="20">
        <f>L346*E346</f>
        <v/>
      </c>
      <c r="N346" s="20" t="n">
        <v>50</v>
      </c>
      <c r="O346" s="20" t="n"/>
      <c r="P346" s="20">
        <f>O346-N346</f>
        <v/>
      </c>
      <c r="Q346" s="20">
        <f>P346*E346</f>
        <v/>
      </c>
      <c r="R346" s="20" t="n"/>
    </row>
    <row r="347" ht="20" customHeight="1" s="1">
      <c r="A347" s="21" t="inlineStr">
        <is>
          <t>11138</t>
        </is>
      </c>
      <c r="B347" s="22" t="inlineStr">
        <is>
          <t>FarmaVita</t>
        </is>
      </c>
      <c r="C347" s="21" t="inlineStr">
        <is>
          <t>8022033004826</t>
        </is>
      </c>
      <c r="D347" s="22" t="inlineStr">
        <is>
          <t>Argan Sublime(Oil Hair) Elixir 100 ml</t>
        </is>
      </c>
      <c r="E347" s="23" t="n">
        <v>22</v>
      </c>
      <c r="F347" s="23" t="n">
        <v>12</v>
      </c>
      <c r="G347" s="23" t="n">
        <v>21</v>
      </c>
      <c r="H347" s="23" t="n">
        <v>21</v>
      </c>
      <c r="I347" s="23" t="n"/>
      <c r="J347" s="23" t="n"/>
      <c r="K347" s="19">
        <f>H347+I347+J347</f>
        <v/>
      </c>
      <c r="L347" s="19">
        <f>K347-G347</f>
        <v/>
      </c>
      <c r="M347" s="20">
        <f>L347*E347</f>
        <v/>
      </c>
      <c r="N347" s="20" t="n">
        <v>50</v>
      </c>
      <c r="O347" s="20" t="n"/>
      <c r="P347" s="20">
        <f>O347-N347</f>
        <v/>
      </c>
      <c r="Q347" s="20">
        <f>P347*E347</f>
        <v/>
      </c>
      <c r="R347" s="20" t="n"/>
    </row>
    <row r="348" ht="20" customHeight="1" s="1">
      <c r="A348" s="16" t="inlineStr">
        <is>
          <t>10921</t>
        </is>
      </c>
      <c r="B348" s="17" t="inlineStr">
        <is>
          <t>FarmaVita</t>
        </is>
      </c>
      <c r="C348" s="16" t="inlineStr">
        <is>
          <t>8022033004802</t>
        </is>
      </c>
      <c r="D348" s="17" t="inlineStr">
        <is>
          <t>Argan Sublime SHampoo 250 ml</t>
        </is>
      </c>
      <c r="E348" s="18" t="n">
        <v>11</v>
      </c>
      <c r="F348" s="18" t="n">
        <v>12</v>
      </c>
      <c r="G348" s="18" t="n">
        <v>21</v>
      </c>
      <c r="H348" s="18" t="n">
        <v>21</v>
      </c>
      <c r="I348" s="18" t="n"/>
      <c r="J348" s="18" t="n"/>
      <c r="K348" s="19">
        <f>H348+I348+J348</f>
        <v/>
      </c>
      <c r="L348" s="19">
        <f>K348-G348</f>
        <v/>
      </c>
      <c r="M348" s="20">
        <f>L348*E348</f>
        <v/>
      </c>
      <c r="N348" s="20" t="n">
        <v>50</v>
      </c>
      <c r="O348" s="20" t="n"/>
      <c r="P348" s="20">
        <f>O348-N348</f>
        <v/>
      </c>
      <c r="Q348" s="20">
        <f>P348*E348</f>
        <v/>
      </c>
      <c r="R348" s="20" t="n"/>
    </row>
    <row r="349" ht="20" customHeight="1" s="1">
      <c r="A349" s="21" t="inlineStr">
        <is>
          <t>11124</t>
        </is>
      </c>
      <c r="B349" s="22" t="inlineStr">
        <is>
          <t>FarmaVita</t>
        </is>
      </c>
      <c r="C349" s="21" t="inlineStr">
        <is>
          <t>8022033004819</t>
        </is>
      </c>
      <c r="D349" s="22" t="inlineStr">
        <is>
          <t>Argan Sublime MASK 250 ml</t>
        </is>
      </c>
      <c r="E349" s="23" t="n">
        <v>14</v>
      </c>
      <c r="F349" s="23" t="n">
        <v>12</v>
      </c>
      <c r="G349" s="23" t="n">
        <v>22</v>
      </c>
      <c r="H349" s="23" t="n">
        <v>22</v>
      </c>
      <c r="I349" s="23" t="n"/>
      <c r="J349" s="23" t="n"/>
      <c r="K349" s="19">
        <f>H349+I349+J349</f>
        <v/>
      </c>
      <c r="L349" s="19">
        <f>K349-G349</f>
        <v/>
      </c>
      <c r="M349" s="20">
        <f>L349*E349</f>
        <v/>
      </c>
      <c r="N349" s="20" t="n">
        <v>50</v>
      </c>
      <c r="O349" s="20" t="n"/>
      <c r="P349" s="20">
        <f>O349-N349</f>
        <v/>
      </c>
      <c r="Q349" s="20">
        <f>P349*E349</f>
        <v/>
      </c>
      <c r="R349" s="20" t="n"/>
    </row>
    <row r="350" ht="20" customHeight="1" s="1">
      <c r="A350" s="16" t="inlineStr">
        <is>
          <t>11021</t>
        </is>
      </c>
      <c r="B350" s="17" t="inlineStr">
        <is>
          <t>FarmaVita</t>
        </is>
      </c>
      <c r="C350" s="16" t="inlineStr">
        <is>
          <t>8022033004895</t>
        </is>
      </c>
      <c r="D350" s="17" t="inlineStr">
        <is>
          <t>Argan Sublime SHampoo 1000 ml</t>
        </is>
      </c>
      <c r="E350" s="18" t="n">
        <v>22</v>
      </c>
      <c r="F350" s="18" t="n">
        <v>12</v>
      </c>
      <c r="G350" s="18" t="n">
        <v>17</v>
      </c>
      <c r="H350" s="18" t="n">
        <v>17</v>
      </c>
      <c r="I350" s="18" t="n"/>
      <c r="J350" s="18" t="n"/>
      <c r="K350" s="19">
        <f>H350+I350+J350</f>
        <v/>
      </c>
      <c r="L350" s="19">
        <f>K350-G350</f>
        <v/>
      </c>
      <c r="M350" s="20">
        <f>L350*E350</f>
        <v/>
      </c>
      <c r="N350" s="20" t="n">
        <v>50</v>
      </c>
      <c r="O350" s="20" t="n"/>
      <c r="P350" s="20">
        <f>O350-N350</f>
        <v/>
      </c>
      <c r="Q350" s="20">
        <f>P350*E350</f>
        <v/>
      </c>
      <c r="R350" s="20" t="n"/>
    </row>
    <row r="351" ht="20" customHeight="1" s="1">
      <c r="A351" s="21" t="inlineStr">
        <is>
          <t>11184</t>
        </is>
      </c>
      <c r="B351" s="22" t="inlineStr">
        <is>
          <t>FarmaVita</t>
        </is>
      </c>
      <c r="C351" s="21" t="inlineStr">
        <is>
          <t>8022033004970</t>
        </is>
      </c>
      <c r="D351" s="22" t="inlineStr">
        <is>
          <t>Argan Sublime MASK 1000 m/l</t>
        </is>
      </c>
      <c r="E351" s="23" t="n">
        <v>22</v>
      </c>
      <c r="F351" s="23" t="n">
        <v>6</v>
      </c>
      <c r="G351" s="23" t="n">
        <v>29</v>
      </c>
      <c r="H351" s="23" t="n">
        <v>29</v>
      </c>
      <c r="I351" s="23" t="n"/>
      <c r="J351" s="23" t="n"/>
      <c r="K351" s="19">
        <f>H351+I351+J351</f>
        <v/>
      </c>
      <c r="L351" s="19">
        <f>K351-G351</f>
        <v/>
      </c>
      <c r="M351" s="20">
        <f>L351*E351</f>
        <v/>
      </c>
      <c r="N351" s="20" t="n">
        <v>50</v>
      </c>
      <c r="O351" s="20" t="n"/>
      <c r="P351" s="20">
        <f>O351-N351</f>
        <v/>
      </c>
      <c r="Q351" s="20">
        <f>P351*E351</f>
        <v/>
      </c>
      <c r="R351" s="20" t="n"/>
    </row>
    <row r="352" ht="20" customHeight="1" s="1">
      <c r="A352" s="21" t="inlineStr">
        <is>
          <t>12816</t>
        </is>
      </c>
      <c r="B352" s="22" t="inlineStr">
        <is>
          <t>Voi Smile</t>
        </is>
      </c>
      <c r="C352" s="21" t="inlineStr">
        <is>
          <t>8681608220001</t>
        </is>
      </c>
      <c r="D352" s="22" t="inlineStr">
        <is>
          <t>Voi Nem salfet baby Chamomile 72pcs</t>
        </is>
      </c>
      <c r="E352" s="23" t="n">
        <v>2.6</v>
      </c>
      <c r="F352" s="24" t="n">
        <v>24</v>
      </c>
      <c r="G352" s="24" t="n">
        <v>63</v>
      </c>
      <c r="H352" s="23" t="n">
        <v>63</v>
      </c>
      <c r="I352" s="23" t="n"/>
      <c r="J352" s="23" t="n"/>
      <c r="K352" s="19">
        <f>H352+I352+J352</f>
        <v/>
      </c>
      <c r="L352" s="19">
        <f>K352-G352</f>
        <v/>
      </c>
      <c r="M352" s="20">
        <f>L352*E352</f>
        <v/>
      </c>
      <c r="N352" s="20" t="n">
        <v>50</v>
      </c>
      <c r="O352" s="20" t="n"/>
      <c r="P352" s="20">
        <f>O352-N352</f>
        <v/>
      </c>
      <c r="Q352" s="20">
        <f>P352*E352</f>
        <v/>
      </c>
      <c r="R352" s="20" t="n"/>
    </row>
    <row r="353" ht="20" customHeight="1" s="1">
      <c r="A353" s="16" t="inlineStr">
        <is>
          <t>12812</t>
        </is>
      </c>
      <c r="B353" s="17" t="inlineStr">
        <is>
          <t>Voi Smile</t>
        </is>
      </c>
      <c r="C353" s="16" t="inlineStr">
        <is>
          <t>8681608220018</t>
        </is>
      </c>
      <c r="D353" s="17" t="inlineStr">
        <is>
          <t>Voi Nem salfet baby Cream Lotion 72pcs</t>
        </is>
      </c>
      <c r="E353" s="18" t="n">
        <v>2.6</v>
      </c>
      <c r="F353" s="25" t="n">
        <v>24</v>
      </c>
      <c r="G353" s="25" t="n">
        <v>61</v>
      </c>
      <c r="H353" s="18" t="n">
        <v>61</v>
      </c>
      <c r="I353" s="18" t="n"/>
      <c r="J353" s="18" t="n"/>
      <c r="K353" s="19">
        <f>H353+I353+J353</f>
        <v/>
      </c>
      <c r="L353" s="19">
        <f>K353-G353</f>
        <v/>
      </c>
      <c r="M353" s="20">
        <f>L353*E353</f>
        <v/>
      </c>
      <c r="N353" s="20" t="n">
        <v>50</v>
      </c>
      <c r="O353" s="20" t="n"/>
      <c r="P353" s="20">
        <f>O353-N353</f>
        <v/>
      </c>
      <c r="Q353" s="20">
        <f>P353*E353</f>
        <v/>
      </c>
      <c r="R353" s="20" t="n"/>
    </row>
    <row r="354" ht="20" customHeight="1" s="1">
      <c r="A354" s="21" t="inlineStr">
        <is>
          <t>18901</t>
        </is>
      </c>
      <c r="B354" s="22" t="inlineStr">
        <is>
          <t>Voi Smile</t>
        </is>
      </c>
      <c r="C354" s="21" t="inlineStr">
        <is>
          <t>8681608223637</t>
        </is>
      </c>
      <c r="D354" s="22" t="inlineStr">
        <is>
          <t>Voi Nem salfet Antibakterial 100pcs</t>
        </is>
      </c>
      <c r="E354" s="23" t="n">
        <v>2.95</v>
      </c>
      <c r="F354" s="24" t="n">
        <v>24</v>
      </c>
      <c r="G354" s="24" t="n">
        <v>0</v>
      </c>
      <c r="H354" s="23" t="n">
        <v>0</v>
      </c>
      <c r="I354" s="23" t="n"/>
      <c r="J354" s="23" t="n"/>
      <c r="K354" s="19">
        <f>H354+I354+J354</f>
        <v/>
      </c>
      <c r="L354" s="19">
        <f>K354-G354</f>
        <v/>
      </c>
      <c r="M354" s="20">
        <f>L354*E354</f>
        <v/>
      </c>
      <c r="N354" s="20" t="n">
        <v>50</v>
      </c>
      <c r="O354" s="20" t="n"/>
      <c r="P354" s="20">
        <f>O354-N354</f>
        <v/>
      </c>
      <c r="Q354" s="20">
        <f>P354*E354</f>
        <v/>
      </c>
      <c r="R354" s="20" t="n"/>
    </row>
    <row r="355" ht="20" customHeight="1" s="1">
      <c r="A355" s="16" t="inlineStr">
        <is>
          <t>12777</t>
        </is>
      </c>
      <c r="B355" s="17" t="inlineStr">
        <is>
          <t>Voi Smile</t>
        </is>
      </c>
      <c r="C355" s="16" t="inlineStr">
        <is>
          <t>8681608220025</t>
        </is>
      </c>
      <c r="D355" s="17" t="inlineStr">
        <is>
          <t>Voi Nem salfet Multi Vitamin White 100pcs</t>
        </is>
      </c>
      <c r="E355" s="18" t="n">
        <v>3.3</v>
      </c>
      <c r="F355" s="25" t="n">
        <v>24</v>
      </c>
      <c r="G355" s="25" t="n">
        <v>54</v>
      </c>
      <c r="H355" s="18" t="n"/>
      <c r="I355" s="18" t="n"/>
      <c r="J355" s="18" t="n"/>
      <c r="K355" s="19" t="n"/>
      <c r="L355" s="19" t="n"/>
      <c r="M355" s="20" t="n"/>
      <c r="N355" s="20" t="n">
        <v>50</v>
      </c>
      <c r="O355" s="20" t="n"/>
      <c r="P355" s="20">
        <f>O355-N355</f>
        <v/>
      </c>
      <c r="Q355" s="20">
        <f>P355*E355</f>
        <v/>
      </c>
      <c r="R355" s="20" t="n"/>
    </row>
    <row r="356" ht="20" customHeight="1" s="1">
      <c r="A356" s="21" t="inlineStr">
        <is>
          <t>12776</t>
        </is>
      </c>
      <c r="B356" s="22" t="inlineStr">
        <is>
          <t>Voi Smile</t>
        </is>
      </c>
      <c r="C356" s="21" t="inlineStr">
        <is>
          <t>8681608220032</t>
        </is>
      </c>
      <c r="D356" s="22" t="inlineStr">
        <is>
          <t>Voi Nem salfet Multi Vitamin Purple 100pcs</t>
        </is>
      </c>
      <c r="E356" s="23" t="n">
        <v>3.3</v>
      </c>
      <c r="F356" s="24" t="n">
        <v>24</v>
      </c>
      <c r="G356" s="24" t="n">
        <v>34</v>
      </c>
      <c r="H356" s="23" t="n">
        <v>34</v>
      </c>
      <c r="I356" s="23" t="n"/>
      <c r="J356" s="23" t="n"/>
      <c r="K356" s="19">
        <f>H356+I356+J356</f>
        <v/>
      </c>
      <c r="L356" s="19">
        <f>K356-G356</f>
        <v/>
      </c>
      <c r="M356" s="20">
        <f>L356*E356</f>
        <v/>
      </c>
      <c r="N356" s="20" t="n">
        <v>50</v>
      </c>
      <c r="O356" s="20" t="n"/>
      <c r="P356" s="20">
        <f>O356-N356</f>
        <v/>
      </c>
      <c r="Q356" s="20">
        <f>P356*E356</f>
        <v/>
      </c>
      <c r="R356" s="20" t="n"/>
    </row>
    <row r="357" ht="20" customHeight="1" s="1">
      <c r="A357" s="16" t="inlineStr">
        <is>
          <t>12802</t>
        </is>
      </c>
      <c r="B357" s="17" t="inlineStr">
        <is>
          <t>Voi Smile</t>
        </is>
      </c>
      <c r="C357" s="16" t="inlineStr">
        <is>
          <t>8681608220049</t>
        </is>
      </c>
      <c r="D357" s="17" t="inlineStr">
        <is>
          <t>Voi Nem salfet Chamomile 100pcs</t>
        </is>
      </c>
      <c r="E357" s="18" t="n">
        <v>3.3</v>
      </c>
      <c r="F357" s="25" t="n">
        <v>24</v>
      </c>
      <c r="G357" s="25" t="n">
        <v>32</v>
      </c>
      <c r="H357" s="18" t="n">
        <v>32</v>
      </c>
      <c r="I357" s="18" t="n"/>
      <c r="J357" s="18" t="n"/>
      <c r="K357" s="19">
        <f>H357+I357+J357</f>
        <v/>
      </c>
      <c r="L357" s="19">
        <f>K357-G357</f>
        <v/>
      </c>
      <c r="M357" s="20">
        <f>L357*E357</f>
        <v/>
      </c>
      <c r="N357" s="20" t="n">
        <v>50</v>
      </c>
      <c r="O357" s="20" t="n"/>
      <c r="P357" s="20">
        <f>O357-N357</f>
        <v/>
      </c>
      <c r="Q357" s="20">
        <f>P357*E357</f>
        <v/>
      </c>
      <c r="R357" s="20" t="n"/>
    </row>
    <row r="358" ht="20" customHeight="1" s="1">
      <c r="A358" s="21" t="inlineStr">
        <is>
          <t>12735</t>
        </is>
      </c>
      <c r="B358" s="22" t="inlineStr">
        <is>
          <t>Voi Smile</t>
        </is>
      </c>
      <c r="C358" s="21" t="inlineStr">
        <is>
          <t>8681608220674</t>
        </is>
      </c>
      <c r="D358" s="22" t="inlineStr">
        <is>
          <t>Voi Nem salfet Valentine Rose 100pcs</t>
        </is>
      </c>
      <c r="E358" s="23" t="n">
        <v>3.3</v>
      </c>
      <c r="F358" s="24" t="n">
        <v>24</v>
      </c>
      <c r="G358" s="24" t="n">
        <v>43</v>
      </c>
      <c r="H358" s="23" t="n">
        <v>43</v>
      </c>
      <c r="I358" s="23" t="n"/>
      <c r="J358" s="23" t="n"/>
      <c r="K358" s="19">
        <f>H358+I358+J358</f>
        <v/>
      </c>
      <c r="L358" s="19">
        <f>K358-G358</f>
        <v/>
      </c>
      <c r="M358" s="20">
        <f>L358*E358</f>
        <v/>
      </c>
      <c r="N358" s="20" t="n">
        <v>50</v>
      </c>
      <c r="O358" s="20" t="n"/>
      <c r="P358" s="20">
        <f>O358-N358</f>
        <v/>
      </c>
      <c r="Q358" s="20">
        <f>P358*E358</f>
        <v/>
      </c>
      <c r="R358" s="20" t="n"/>
    </row>
    <row r="359" ht="20" customHeight="1" s="1">
      <c r="A359" s="16" t="inlineStr">
        <is>
          <t>12804</t>
        </is>
      </c>
      <c r="B359" s="17" t="inlineStr">
        <is>
          <t>Voi Smile</t>
        </is>
      </c>
      <c r="C359" s="16" t="inlineStr">
        <is>
          <t>8681608220056</t>
        </is>
      </c>
      <c r="D359" s="17" t="inlineStr">
        <is>
          <t>Voi Nem salfet Midnight Rose 100pcs</t>
        </is>
      </c>
      <c r="E359" s="18" t="n">
        <v>3.3</v>
      </c>
      <c r="F359" s="25" t="n">
        <v>24</v>
      </c>
      <c r="G359" s="25" t="n">
        <v>6</v>
      </c>
      <c r="H359" s="18" t="n">
        <v>6</v>
      </c>
      <c r="I359" s="18" t="n"/>
      <c r="J359" s="18" t="n"/>
      <c r="K359" s="19">
        <f>H359+I359+J359</f>
        <v/>
      </c>
      <c r="L359" s="19">
        <f>K359-G359</f>
        <v/>
      </c>
      <c r="M359" s="20">
        <f>L359*E359</f>
        <v/>
      </c>
      <c r="N359" s="20" t="n">
        <v>50</v>
      </c>
      <c r="O359" s="20" t="n"/>
      <c r="P359" s="20">
        <f>O359-N359</f>
        <v/>
      </c>
      <c r="Q359" s="20">
        <f>P359*E359</f>
        <v/>
      </c>
      <c r="R359" s="20" t="n"/>
    </row>
    <row r="360" ht="20" customHeight="1" s="1">
      <c r="A360" s="21" t="inlineStr">
        <is>
          <t>12707</t>
        </is>
      </c>
      <c r="B360" s="22" t="inlineStr">
        <is>
          <t>Voi Smile</t>
        </is>
      </c>
      <c r="C360" s="21" t="inlineStr">
        <is>
          <t>8681608220063</t>
        </is>
      </c>
      <c r="D360" s="22" t="inlineStr">
        <is>
          <t>Voi Nem salfet baby Cream Lotion 120pcs</t>
        </is>
      </c>
      <c r="E360" s="23" t="n">
        <v>3.7</v>
      </c>
      <c r="F360" s="24" t="n">
        <v>24</v>
      </c>
      <c r="G360" s="24" t="n">
        <v>36</v>
      </c>
      <c r="H360" s="23" t="n">
        <v>36</v>
      </c>
      <c r="I360" s="23" t="n"/>
      <c r="J360" s="23" t="n"/>
      <c r="K360" s="19">
        <f>H360+I360+J360</f>
        <v/>
      </c>
      <c r="L360" s="19">
        <f>K360-G360</f>
        <v/>
      </c>
      <c r="M360" s="20">
        <f>L360*E360</f>
        <v/>
      </c>
      <c r="N360" s="20" t="n">
        <v>50</v>
      </c>
      <c r="O360" s="20" t="n"/>
      <c r="P360" s="20">
        <f>O360-N360</f>
        <v/>
      </c>
      <c r="Q360" s="20">
        <f>P360*E360</f>
        <v/>
      </c>
      <c r="R360" s="20" t="n"/>
    </row>
    <row r="361" ht="20" customHeight="1" s="1">
      <c r="A361" s="16" t="inlineStr">
        <is>
          <t>12718</t>
        </is>
      </c>
      <c r="B361" s="17" t="inlineStr">
        <is>
          <t>Voi Smile</t>
        </is>
      </c>
      <c r="C361" s="16" t="inlineStr">
        <is>
          <t>8681608220070</t>
        </is>
      </c>
      <c r="D361" s="17" t="inlineStr">
        <is>
          <t>Voi Nem salfet Family 120pcs</t>
        </is>
      </c>
      <c r="E361" s="18" t="n">
        <v>3.7</v>
      </c>
      <c r="F361" s="25" t="n">
        <v>24</v>
      </c>
      <c r="G361" s="25" t="n">
        <v>37</v>
      </c>
      <c r="H361" s="18" t="n"/>
      <c r="I361" s="18" t="n"/>
      <c r="J361" s="18" t="n"/>
      <c r="K361" s="19" t="n"/>
      <c r="L361" s="19" t="n"/>
      <c r="M361" s="20" t="n"/>
      <c r="N361" s="20" t="n">
        <v>50</v>
      </c>
      <c r="O361" s="20" t="n"/>
      <c r="P361" s="20">
        <f>O361-N361</f>
        <v/>
      </c>
      <c r="Q361" s="20">
        <f>P361*E361</f>
        <v/>
      </c>
      <c r="R361" s="20" t="n"/>
    </row>
    <row r="362" ht="20" customHeight="1" s="1">
      <c r="A362" s="21" t="inlineStr">
        <is>
          <t>12782</t>
        </is>
      </c>
      <c r="B362" s="22" t="inlineStr">
        <is>
          <t>Voi Smile</t>
        </is>
      </c>
      <c r="C362" s="21" t="inlineStr">
        <is>
          <t>8681608220575</t>
        </is>
      </c>
      <c r="D362" s="22" t="inlineStr">
        <is>
          <t>Voi Nem salfet Waterfall 120pcs</t>
        </is>
      </c>
      <c r="E362" s="23" t="n">
        <v>3.7</v>
      </c>
      <c r="F362" s="24" t="n">
        <v>24</v>
      </c>
      <c r="G362" s="24" t="n">
        <v>37</v>
      </c>
      <c r="H362" s="23" t="n">
        <v>37</v>
      </c>
      <c r="I362" s="23" t="n"/>
      <c r="J362" s="23" t="n"/>
      <c r="K362" s="19">
        <f>H362+I362+J362</f>
        <v/>
      </c>
      <c r="L362" s="19">
        <f>K362-G362</f>
        <v/>
      </c>
      <c r="M362" s="20">
        <f>L362*E362</f>
        <v/>
      </c>
      <c r="N362" s="20" t="n">
        <v>50</v>
      </c>
      <c r="O362" s="20" t="n"/>
      <c r="P362" s="20">
        <f>O362-N362</f>
        <v/>
      </c>
      <c r="Q362" s="20">
        <f>P362*E362</f>
        <v/>
      </c>
      <c r="R362" s="20" t="n"/>
    </row>
    <row r="363" ht="20" customHeight="1" s="1">
      <c r="A363" s="16" t="inlineStr">
        <is>
          <t>12695</t>
        </is>
      </c>
      <c r="B363" s="17" t="inlineStr">
        <is>
          <t>Voi Smile</t>
        </is>
      </c>
      <c r="C363" s="16" t="inlineStr">
        <is>
          <t>8681608220681</t>
        </is>
      </c>
      <c r="D363" s="17" t="inlineStr">
        <is>
          <t>Voi Nem salfet Blue Passion 120pcs</t>
        </is>
      </c>
      <c r="E363" s="18" t="n">
        <v>3.7</v>
      </c>
      <c r="F363" s="25" t="n">
        <v>24</v>
      </c>
      <c r="G363" s="25" t="n">
        <v>18</v>
      </c>
      <c r="H363" s="18" t="n">
        <v>18</v>
      </c>
      <c r="I363" s="18" t="n"/>
      <c r="J363" s="18" t="n"/>
      <c r="K363" s="19">
        <f>H363+I363+J363</f>
        <v/>
      </c>
      <c r="L363" s="19">
        <f>K363-G363</f>
        <v/>
      </c>
      <c r="M363" s="20">
        <f>L363*E363</f>
        <v/>
      </c>
      <c r="N363" s="20" t="n">
        <v>50</v>
      </c>
      <c r="O363" s="20" t="n"/>
      <c r="P363" s="20">
        <f>O363-N363</f>
        <v/>
      </c>
      <c r="Q363" s="20">
        <f>P363*E363</f>
        <v/>
      </c>
      <c r="R363" s="20" t="n"/>
    </row>
    <row r="364" ht="20" customHeight="1" s="1">
      <c r="A364" s="21" t="inlineStr">
        <is>
          <t>19768</t>
        </is>
      </c>
      <c r="B364" s="22" t="inlineStr">
        <is>
          <t>Voi Smile</t>
        </is>
      </c>
      <c r="C364" s="21" t="inlineStr">
        <is>
          <t>8681608225006</t>
        </is>
      </c>
      <c r="D364" s="22" t="inlineStr">
        <is>
          <t>Voi Nem salfet baby 99% Pure Water 56pcs</t>
        </is>
      </c>
      <c r="E364" s="23" t="n">
        <v>2.1</v>
      </c>
      <c r="F364" s="24" t="n">
        <v>24</v>
      </c>
      <c r="G364" s="24" t="n">
        <v>0</v>
      </c>
      <c r="H364" s="23" t="n">
        <v>0</v>
      </c>
      <c r="I364" s="23" t="n"/>
      <c r="J364" s="23" t="n"/>
      <c r="K364" s="19">
        <f>H364+I364+J364</f>
        <v/>
      </c>
      <c r="L364" s="19">
        <f>K364-G364</f>
        <v/>
      </c>
      <c r="M364" s="20">
        <f>L364*E364</f>
        <v/>
      </c>
      <c r="N364" s="20" t="n">
        <v>50</v>
      </c>
      <c r="O364" s="20" t="n"/>
      <c r="P364" s="20">
        <f>O364-N364</f>
        <v/>
      </c>
      <c r="Q364" s="20">
        <f>P364*E364</f>
        <v/>
      </c>
      <c r="R364" s="20" t="n"/>
    </row>
    <row r="365" ht="20" customHeight="1" s="1">
      <c r="A365" s="16" t="inlineStr">
        <is>
          <t>19769</t>
        </is>
      </c>
      <c r="B365" s="17" t="inlineStr">
        <is>
          <t>Voi Smile</t>
        </is>
      </c>
      <c r="C365" s="16" t="inlineStr">
        <is>
          <t>8681608222975</t>
        </is>
      </c>
      <c r="D365" s="17" t="inlineStr">
        <is>
          <t>Voi Nem salfet baby Multivitamin 25pcs</t>
        </is>
      </c>
      <c r="E365" s="18" t="n">
        <v>1.8</v>
      </c>
      <c r="F365" s="25" t="n">
        <v>48</v>
      </c>
      <c r="G365" s="25" t="n">
        <v>41</v>
      </c>
      <c r="H365" s="18" t="n">
        <v>41</v>
      </c>
      <c r="I365" s="18" t="n"/>
      <c r="J365" s="18" t="n"/>
      <c r="K365" s="19">
        <f>H365+I365+J365</f>
        <v/>
      </c>
      <c r="L365" s="19">
        <f>K365-G365</f>
        <v/>
      </c>
      <c r="M365" s="20">
        <f>L365*E365</f>
        <v/>
      </c>
      <c r="N365" s="20" t="n">
        <v>50</v>
      </c>
      <c r="O365" s="20" t="n"/>
      <c r="P365" s="20">
        <f>O365-N365</f>
        <v/>
      </c>
      <c r="Q365" s="20">
        <f>P365*E365</f>
        <v/>
      </c>
      <c r="R365" s="20" t="n"/>
    </row>
    <row r="366" ht="20" customHeight="1" s="1">
      <c r="A366" s="21" t="inlineStr">
        <is>
          <t>12721</t>
        </is>
      </c>
      <c r="B366" s="22" t="inlineStr">
        <is>
          <t>Voi Smile</t>
        </is>
      </c>
      <c r="C366" s="21" t="inlineStr">
        <is>
          <t>8681608220872</t>
        </is>
      </c>
      <c r="D366" s="22" t="inlineStr">
        <is>
          <t>Voi Nem salfet Make Up Cream Lotion 25pcs</t>
        </is>
      </c>
      <c r="E366" s="23" t="n">
        <v>1.5</v>
      </c>
      <c r="F366" s="24" t="n">
        <v>48</v>
      </c>
      <c r="G366" s="24" t="n">
        <v>131</v>
      </c>
      <c r="H366" s="23" t="n">
        <v>131</v>
      </c>
      <c r="I366" s="23" t="n"/>
      <c r="J366" s="23" t="n"/>
      <c r="K366" s="19">
        <f>H366+I366+J366</f>
        <v/>
      </c>
      <c r="L366" s="19">
        <f>K366-G366</f>
        <v/>
      </c>
      <c r="M366" s="20">
        <f>L366*E366</f>
        <v/>
      </c>
      <c r="N366" s="20" t="n">
        <v>50</v>
      </c>
      <c r="O366" s="20" t="n"/>
      <c r="P366" s="20">
        <f>O366-N366</f>
        <v/>
      </c>
      <c r="Q366" s="20">
        <f>P366*E366</f>
        <v/>
      </c>
      <c r="R366" s="20" t="n"/>
    </row>
    <row r="367" ht="20" customHeight="1" s="1">
      <c r="A367" s="16" t="inlineStr">
        <is>
          <t>12677</t>
        </is>
      </c>
      <c r="B367" s="17" t="inlineStr">
        <is>
          <t>Voi Smile</t>
        </is>
      </c>
      <c r="C367" s="16" t="inlineStr">
        <is>
          <t>8681608220902</t>
        </is>
      </c>
      <c r="D367" s="17" t="inlineStr">
        <is>
          <t>Voi Nem salfet Make Up Micellar 25pcs</t>
        </is>
      </c>
      <c r="E367" s="18" t="n">
        <v>1.65</v>
      </c>
      <c r="F367" s="25" t="n">
        <v>48</v>
      </c>
      <c r="G367" s="25" t="n">
        <v>37</v>
      </c>
      <c r="H367" s="18" t="n">
        <v>37</v>
      </c>
      <c r="I367" s="18" t="n"/>
      <c r="J367" s="18" t="n"/>
      <c r="K367" s="19">
        <f>H367+I367+J367</f>
        <v/>
      </c>
      <c r="L367" s="19">
        <f>K367-G367</f>
        <v/>
      </c>
      <c r="M367" s="20">
        <f>L367*E367</f>
        <v/>
      </c>
      <c r="N367" s="20" t="n">
        <v>50</v>
      </c>
      <c r="O367" s="20" t="n"/>
      <c r="P367" s="20">
        <f>O367-N367</f>
        <v/>
      </c>
      <c r="Q367" s="20">
        <f>P367*E367</f>
        <v/>
      </c>
      <c r="R367" s="20" t="n"/>
    </row>
    <row r="368" ht="20" customHeight="1" s="1">
      <c r="A368" s="21" t="inlineStr">
        <is>
          <t>20255</t>
        </is>
      </c>
      <c r="B368" s="22" t="inlineStr">
        <is>
          <t>Voi Smile</t>
        </is>
      </c>
      <c r="C368" s="21" t="inlineStr">
        <is>
          <t>8681608223033</t>
        </is>
      </c>
      <c r="D368" s="22" t="inlineStr">
        <is>
          <t>Voi Nem salfet baby Newborn 25pcs</t>
        </is>
      </c>
      <c r="E368" s="23" t="n">
        <v>1.8</v>
      </c>
      <c r="F368" s="24" t="n">
        <v>48</v>
      </c>
      <c r="G368" s="24" t="n">
        <v>42</v>
      </c>
      <c r="H368" s="23" t="n">
        <v>42</v>
      </c>
      <c r="I368" s="23" t="n"/>
      <c r="J368" s="23" t="n"/>
      <c r="K368" s="19">
        <f>H368+I368+J368</f>
        <v/>
      </c>
      <c r="L368" s="19">
        <f>K368-G368</f>
        <v/>
      </c>
      <c r="M368" s="20">
        <f>L368*E368</f>
        <v/>
      </c>
      <c r="N368" s="20" t="n">
        <v>50</v>
      </c>
      <c r="O368" s="20" t="n"/>
      <c r="P368" s="20">
        <f>O368-N368</f>
        <v/>
      </c>
      <c r="Q368" s="20">
        <f>P368*E368</f>
        <v/>
      </c>
      <c r="R368" s="20" t="n"/>
    </row>
    <row r="369" ht="20" customHeight="1" s="1">
      <c r="A369" s="16" t="inlineStr">
        <is>
          <t>20256</t>
        </is>
      </c>
      <c r="B369" s="17" t="inlineStr">
        <is>
          <t>Voi Smile</t>
        </is>
      </c>
      <c r="C369" s="16" t="inlineStr">
        <is>
          <t>8681608222982</t>
        </is>
      </c>
      <c r="D369" s="17" t="inlineStr">
        <is>
          <t>Voi Nem salfet baby Multivitamine travel pack pink 25pcs</t>
        </is>
      </c>
      <c r="E369" s="18" t="n">
        <v>1.8</v>
      </c>
      <c r="F369" s="25" t="n">
        <v>48</v>
      </c>
      <c r="G369" s="25" t="n">
        <v>42</v>
      </c>
      <c r="H369" s="18" t="n">
        <v>42</v>
      </c>
      <c r="I369" s="18" t="n"/>
      <c r="J369" s="18" t="n"/>
      <c r="K369" s="19">
        <f>H369+I369+J369</f>
        <v/>
      </c>
      <c r="L369" s="19">
        <f>K369-G369</f>
        <v/>
      </c>
      <c r="M369" s="20">
        <f>L369*E369</f>
        <v/>
      </c>
      <c r="N369" s="20" t="n">
        <v>50</v>
      </c>
      <c r="O369" s="20" t="n"/>
      <c r="P369" s="20">
        <f>O369-N369</f>
        <v/>
      </c>
      <c r="Q369" s="20">
        <f>P369*E369</f>
        <v/>
      </c>
      <c r="R369" s="20" t="n"/>
    </row>
    <row r="370" ht="20" customHeight="1" s="1">
      <c r="A370" s="21" t="inlineStr">
        <is>
          <t>12670</t>
        </is>
      </c>
      <c r="B370" s="22" t="inlineStr">
        <is>
          <t>Voi Smile</t>
        </is>
      </c>
      <c r="C370" s="21" t="inlineStr">
        <is>
          <t>8681608220841</t>
        </is>
      </c>
      <c r="D370" s="22" t="inlineStr">
        <is>
          <t>Voi Nem salfet cib 15pcs</t>
        </is>
      </c>
      <c r="E370" s="23" t="n">
        <v>0.5</v>
      </c>
      <c r="F370" s="24" t="n">
        <v>144</v>
      </c>
      <c r="G370" s="24" t="n">
        <v>238</v>
      </c>
      <c r="H370" s="23" t="n">
        <v>236</v>
      </c>
      <c r="I370" s="23" t="n">
        <v>2</v>
      </c>
      <c r="J370" s="23" t="n"/>
      <c r="K370" s="19">
        <f>H370+I370+J370</f>
        <v/>
      </c>
      <c r="L370" s="19">
        <f>K370-G370</f>
        <v/>
      </c>
      <c r="M370" s="20">
        <f>L370*E370</f>
        <v/>
      </c>
      <c r="N370" s="20" t="n">
        <v>50</v>
      </c>
      <c r="O370" s="20" t="n"/>
      <c r="P370" s="20">
        <f>O370-N370</f>
        <v/>
      </c>
      <c r="Q370" s="20">
        <f>P370*E370</f>
        <v/>
      </c>
      <c r="R370" s="20" t="n"/>
    </row>
    <row r="371" ht="20" customHeight="1" s="1">
      <c r="A371" s="16" t="inlineStr">
        <is>
          <t>19131</t>
        </is>
      </c>
      <c r="B371" s="17" t="inlineStr">
        <is>
          <t>Voi Smile</t>
        </is>
      </c>
      <c r="C371" s="16" t="inlineStr">
        <is>
          <t>8681608223651</t>
        </is>
      </c>
      <c r="D371" s="17" t="inlineStr">
        <is>
          <t>Voi Nem salfet cib Antiviral Alcohol 15pcs</t>
        </is>
      </c>
      <c r="E371" s="18" t="n">
        <v>0.5</v>
      </c>
      <c r="F371" s="25" t="n">
        <v>144</v>
      </c>
      <c r="G371" s="25" t="n">
        <v>0</v>
      </c>
      <c r="H371" s="18" t="n">
        <v>0</v>
      </c>
      <c r="I371" s="18" t="n"/>
      <c r="J371" s="18" t="n"/>
      <c r="K371" s="19">
        <f>H371+I371+J371</f>
        <v/>
      </c>
      <c r="L371" s="19">
        <f>K371-G371</f>
        <v/>
      </c>
      <c r="M371" s="20">
        <f>L371*E371</f>
        <v/>
      </c>
      <c r="N371" s="20" t="n">
        <v>50</v>
      </c>
      <c r="O371" s="20" t="n"/>
      <c r="P371" s="20">
        <f>O371-N371</f>
        <v/>
      </c>
      <c r="Q371" s="20">
        <f>P371*E371</f>
        <v/>
      </c>
      <c r="R371" s="20" t="n"/>
    </row>
    <row r="372" ht="20" customHeight="1" s="1">
      <c r="A372" s="21" t="inlineStr">
        <is>
          <t>20257</t>
        </is>
      </c>
      <c r="B372" s="22" t="inlineStr">
        <is>
          <t>Voi Smile</t>
        </is>
      </c>
      <c r="C372" s="21" t="inlineStr">
        <is>
          <t>8681608225372</t>
        </is>
      </c>
      <c r="D372" s="22" t="inlineStr">
        <is>
          <t>Voi Pambiq disk yumru 50pcs</t>
        </is>
      </c>
      <c r="E372" s="23" t="n">
        <v>2.8</v>
      </c>
      <c r="F372" s="24" t="n">
        <v>50</v>
      </c>
      <c r="G372" s="24" t="n">
        <v>0</v>
      </c>
      <c r="H372" s="23" t="n">
        <v>0</v>
      </c>
      <c r="I372" s="23" t="n"/>
      <c r="J372" s="23" t="n"/>
      <c r="K372" s="19">
        <f>H372+I372+J372</f>
        <v/>
      </c>
      <c r="L372" s="19">
        <f>K372-G372</f>
        <v/>
      </c>
      <c r="M372" s="20">
        <f>L372*E372</f>
        <v/>
      </c>
      <c r="N372" s="20" t="n">
        <v>50</v>
      </c>
      <c r="O372" s="20" t="n"/>
      <c r="P372" s="20">
        <f>O372-N372</f>
        <v/>
      </c>
      <c r="Q372" s="20">
        <f>P372*E372</f>
        <v/>
      </c>
      <c r="R372" s="20" t="n"/>
    </row>
    <row r="373" ht="20" customHeight="1" s="1">
      <c r="A373" s="16" t="inlineStr">
        <is>
          <t>12711</t>
        </is>
      </c>
      <c r="B373" s="17" t="inlineStr">
        <is>
          <t>Voi Smile</t>
        </is>
      </c>
      <c r="C373" s="16" t="inlineStr">
        <is>
          <t>8681608220933</t>
        </is>
      </c>
      <c r="D373" s="17" t="inlineStr">
        <is>
          <t>Voi Pambiq disk 100pcs</t>
        </is>
      </c>
      <c r="E373" s="18" t="n">
        <v>2.3</v>
      </c>
      <c r="F373" s="25" t="n">
        <v>48</v>
      </c>
      <c r="G373" s="25" t="n">
        <v>161</v>
      </c>
      <c r="H373" s="18" t="n">
        <v>161</v>
      </c>
      <c r="I373" s="18" t="n"/>
      <c r="J373" s="18" t="n"/>
      <c r="K373" s="19">
        <f>H373+I373+J373</f>
        <v/>
      </c>
      <c r="L373" s="19">
        <f>K373-G373</f>
        <v/>
      </c>
      <c r="M373" s="20">
        <f>L373*E373</f>
        <v/>
      </c>
      <c r="N373" s="20" t="n">
        <v>50</v>
      </c>
      <c r="O373" s="20" t="n"/>
      <c r="P373" s="20">
        <f>O373-N373</f>
        <v/>
      </c>
      <c r="Q373" s="20">
        <f>P373*E373</f>
        <v/>
      </c>
      <c r="R373" s="20" t="n"/>
    </row>
    <row r="374" ht="20" customHeight="1" s="1">
      <c r="A374" s="21" t="inlineStr">
        <is>
          <t>16051</t>
        </is>
      </c>
      <c r="B374" s="22" t="inlineStr">
        <is>
          <t>Voi Smile</t>
        </is>
      </c>
      <c r="C374" s="21" t="inlineStr">
        <is>
          <t>8681608221534</t>
        </is>
      </c>
      <c r="D374" s="22" t="inlineStr">
        <is>
          <t>Voi Pambiq disk advantage pack 140pcs</t>
        </is>
      </c>
      <c r="E374" s="23" t="n">
        <v>2.6</v>
      </c>
      <c r="F374" s="24" t="n">
        <v>35</v>
      </c>
      <c r="G374" s="24" t="n">
        <v>161</v>
      </c>
      <c r="H374" s="23" t="n">
        <v>161</v>
      </c>
      <c r="I374" s="23" t="n"/>
      <c r="J374" s="23" t="n"/>
      <c r="K374" s="19">
        <f>H374+I374+J374</f>
        <v/>
      </c>
      <c r="L374" s="19">
        <f>K374-G374</f>
        <v/>
      </c>
      <c r="M374" s="20">
        <f>L374*E374</f>
        <v/>
      </c>
      <c r="N374" s="20" t="n">
        <v>50</v>
      </c>
      <c r="O374" s="20" t="n"/>
      <c r="P374" s="20">
        <f>O374-N374</f>
        <v/>
      </c>
      <c r="Q374" s="20">
        <f>P374*E374</f>
        <v/>
      </c>
      <c r="R374" s="20" t="n"/>
    </row>
    <row r="375" ht="20" customHeight="1" s="1">
      <c r="A375" s="16" t="inlineStr">
        <is>
          <t>21170</t>
        </is>
      </c>
      <c r="B375" s="17" t="inlineStr">
        <is>
          <t>Voi Smile</t>
        </is>
      </c>
      <c r="C375" s="16" t="inlineStr">
        <is>
          <t>8681608226423</t>
        </is>
      </c>
      <c r="D375" s="17" t="inlineStr">
        <is>
          <t>Voi Nem salfet Seth temizleyici 50pcs</t>
        </is>
      </c>
      <c r="E375" s="18" t="n">
        <v>4.8</v>
      </c>
      <c r="F375" s="25" t="n">
        <v>12</v>
      </c>
      <c r="G375" s="25" t="n">
        <v>48</v>
      </c>
      <c r="H375" s="18" t="n">
        <v>48</v>
      </c>
      <c r="I375" s="18" t="n"/>
      <c r="J375" s="18" t="n"/>
      <c r="K375" s="19">
        <f>H375+I375+J375</f>
        <v/>
      </c>
      <c r="L375" s="19">
        <f>K375-G375</f>
        <v/>
      </c>
      <c r="M375" s="20">
        <f>L375*E375</f>
        <v/>
      </c>
      <c r="N375" s="20" t="n">
        <v>50</v>
      </c>
      <c r="O375" s="20" t="n"/>
      <c r="P375" s="20">
        <f>O375-N375</f>
        <v/>
      </c>
      <c r="Q375" s="20">
        <f>P375*E375</f>
        <v/>
      </c>
      <c r="R375" s="20" t="n"/>
    </row>
    <row r="376" ht="20" customHeight="1" s="1">
      <c r="A376" s="21" t="inlineStr">
        <is>
          <t>12784</t>
        </is>
      </c>
      <c r="B376" s="22" t="inlineStr">
        <is>
          <t>Voi Smile</t>
        </is>
      </c>
      <c r="C376" s="21" t="inlineStr">
        <is>
          <t>8681608220490</t>
        </is>
      </c>
      <c r="D376" s="22" t="inlineStr">
        <is>
          <t>Voi Hava teravetlendirici Orchid 300ml</t>
        </is>
      </c>
      <c r="E376" s="23" t="n">
        <v>2.8</v>
      </c>
      <c r="F376" s="24" t="n">
        <v>24</v>
      </c>
      <c r="G376" s="24" t="n">
        <v>12</v>
      </c>
      <c r="H376" s="23" t="n">
        <v>12</v>
      </c>
      <c r="I376" s="23" t="n"/>
      <c r="J376" s="23" t="n"/>
      <c r="K376" s="19">
        <f>H376+I376+J376</f>
        <v/>
      </c>
      <c r="L376" s="19">
        <f>K376-G376</f>
        <v/>
      </c>
      <c r="M376" s="20">
        <f>L376*E376</f>
        <v/>
      </c>
      <c r="N376" s="20" t="n">
        <v>50</v>
      </c>
      <c r="O376" s="20" t="n"/>
      <c r="P376" s="20">
        <f>O376-N376</f>
        <v/>
      </c>
      <c r="Q376" s="20">
        <f>P376*E376</f>
        <v/>
      </c>
      <c r="R376" s="20" t="n"/>
    </row>
    <row r="377" ht="20" customHeight="1" s="1">
      <c r="A377" s="16" t="inlineStr">
        <is>
          <t>12723</t>
        </is>
      </c>
      <c r="B377" s="17" t="inlineStr">
        <is>
          <t>Voi Smile</t>
        </is>
      </c>
      <c r="C377" s="16" t="inlineStr">
        <is>
          <t>8681608220506</t>
        </is>
      </c>
      <c r="D377" s="17" t="inlineStr">
        <is>
          <t>Voi Hava teravetlendirici Cherry Blossom 300ml</t>
        </is>
      </c>
      <c r="E377" s="18" t="n">
        <v>2.8</v>
      </c>
      <c r="F377" s="25" t="n">
        <v>24</v>
      </c>
      <c r="G377" s="25" t="n">
        <v>2</v>
      </c>
      <c r="H377" s="18" t="n">
        <v>2</v>
      </c>
      <c r="I377" s="18" t="n"/>
      <c r="J377" s="18" t="n"/>
      <c r="K377" s="19">
        <f>H377+I377+J377</f>
        <v/>
      </c>
      <c r="L377" s="19">
        <f>K377-G377</f>
        <v/>
      </c>
      <c r="M377" s="20">
        <f>L377*E377</f>
        <v/>
      </c>
      <c r="N377" s="20" t="n">
        <v>50</v>
      </c>
      <c r="O377" s="20" t="n"/>
      <c r="P377" s="20">
        <f>O377-N377</f>
        <v/>
      </c>
      <c r="Q377" s="20">
        <f>P377*E377</f>
        <v/>
      </c>
      <c r="R377" s="20" t="n"/>
    </row>
    <row r="378" ht="20" customHeight="1" s="1">
      <c r="A378" s="21" t="inlineStr">
        <is>
          <t>12726</t>
        </is>
      </c>
      <c r="B378" s="22" t="inlineStr">
        <is>
          <t>Voi Smile</t>
        </is>
      </c>
      <c r="C378" s="21" t="inlineStr">
        <is>
          <t>8681608220513</t>
        </is>
      </c>
      <c r="D378" s="22" t="inlineStr">
        <is>
          <t>Voi Hava teravetlendirici Lavender 300ml</t>
        </is>
      </c>
      <c r="E378" s="23" t="n">
        <v>2.8</v>
      </c>
      <c r="F378" s="24" t="n">
        <v>24</v>
      </c>
      <c r="G378" s="24" t="n">
        <v>4</v>
      </c>
      <c r="H378" s="23" t="n">
        <v>4</v>
      </c>
      <c r="I378" s="23" t="n"/>
      <c r="J378" s="23" t="n"/>
      <c r="K378" s="19">
        <f>H378+I378+J378</f>
        <v/>
      </c>
      <c r="L378" s="19">
        <f>K378-G378</f>
        <v/>
      </c>
      <c r="M378" s="20">
        <f>L378*E378</f>
        <v/>
      </c>
      <c r="N378" s="20" t="n">
        <v>50</v>
      </c>
      <c r="O378" s="20" t="n"/>
      <c r="P378" s="20">
        <f>O378-N378</f>
        <v/>
      </c>
      <c r="Q378" s="20">
        <f>P378*E378</f>
        <v/>
      </c>
      <c r="R378" s="20" t="n"/>
    </row>
    <row r="379" ht="20" customHeight="1" s="1">
      <c r="A379" s="16" t="inlineStr">
        <is>
          <t>12744</t>
        </is>
      </c>
      <c r="B379" s="17" t="inlineStr">
        <is>
          <t>Voi Smile</t>
        </is>
      </c>
      <c r="C379" s="16" t="inlineStr">
        <is>
          <t>8681608220520</t>
        </is>
      </c>
      <c r="D379" s="17" t="inlineStr">
        <is>
          <t>Voi Hava teravetlendirici Ocean 300ml</t>
        </is>
      </c>
      <c r="E379" s="18" t="n">
        <v>2.8</v>
      </c>
      <c r="F379" s="25" t="n">
        <v>24</v>
      </c>
      <c r="G379" s="25" t="n">
        <v>2</v>
      </c>
      <c r="H379" s="18" t="n">
        <v>2</v>
      </c>
      <c r="I379" s="18" t="n"/>
      <c r="J379" s="18" t="n"/>
      <c r="K379" s="19">
        <f>H379+I379+J379</f>
        <v/>
      </c>
      <c r="L379" s="19">
        <f>K379-G379</f>
        <v/>
      </c>
      <c r="M379" s="20">
        <f>L379*E379</f>
        <v/>
      </c>
      <c r="N379" s="20" t="n">
        <v>50</v>
      </c>
      <c r="O379" s="20" t="n"/>
      <c r="P379" s="20">
        <f>O379-N379</f>
        <v/>
      </c>
      <c r="Q379" s="20">
        <f>P379*E379</f>
        <v/>
      </c>
      <c r="R379" s="20" t="n"/>
    </row>
    <row r="380" ht="20" customHeight="1" s="1">
      <c r="A380" s="21" t="inlineStr">
        <is>
          <t>12773</t>
        </is>
      </c>
      <c r="B380" s="22" t="inlineStr">
        <is>
          <t>Voi Smile</t>
        </is>
      </c>
      <c r="C380" s="21" t="inlineStr">
        <is>
          <t>8681608220537</t>
        </is>
      </c>
      <c r="D380" s="22" t="inlineStr">
        <is>
          <t>Voi Hava teravetlendirici Rose 300ml</t>
        </is>
      </c>
      <c r="E380" s="23" t="n">
        <v>2.8</v>
      </c>
      <c r="F380" s="24" t="n">
        <v>24</v>
      </c>
      <c r="G380" s="24" t="n">
        <v>1</v>
      </c>
      <c r="H380" s="23" t="n">
        <v>1</v>
      </c>
      <c r="I380" s="23" t="n"/>
      <c r="J380" s="23" t="n"/>
      <c r="K380" s="19">
        <f>H380+I380+J380</f>
        <v/>
      </c>
      <c r="L380" s="19">
        <f>K380-G380</f>
        <v/>
      </c>
      <c r="M380" s="20">
        <f>L380*E380</f>
        <v/>
      </c>
      <c r="N380" s="20" t="n">
        <v>50</v>
      </c>
      <c r="O380" s="20" t="n"/>
      <c r="P380" s="20">
        <f>O380-N380</f>
        <v/>
      </c>
      <c r="Q380" s="20">
        <f>P380*E380</f>
        <v/>
      </c>
      <c r="R380" s="20" t="n"/>
    </row>
    <row r="381" ht="20" customHeight="1" s="1">
      <c r="A381" s="16" t="inlineStr">
        <is>
          <t>18902</t>
        </is>
      </c>
      <c r="B381" s="17" t="inlineStr">
        <is>
          <t>Voi Smile</t>
        </is>
      </c>
      <c r="C381" s="16" t="inlineStr">
        <is>
          <t>8681608225051</t>
        </is>
      </c>
      <c r="D381" s="17" t="inlineStr">
        <is>
          <t>Voi Hava teravetlendirici Rose 300ml</t>
        </is>
      </c>
      <c r="E381" s="18" t="n">
        <v>2.8</v>
      </c>
      <c r="F381" s="25" t="n">
        <v>24</v>
      </c>
      <c r="G381" s="25" t="n">
        <v>0</v>
      </c>
      <c r="H381" s="18" t="n">
        <v>0</v>
      </c>
      <c r="I381" s="18" t="n"/>
      <c r="J381" s="18" t="n"/>
      <c r="K381" s="19">
        <f>H381+I381+J381</f>
        <v/>
      </c>
      <c r="L381" s="19">
        <f>K381-G381</f>
        <v/>
      </c>
      <c r="M381" s="20">
        <f>L381*E381</f>
        <v/>
      </c>
      <c r="N381" s="20" t="n">
        <v>50</v>
      </c>
      <c r="O381" s="20" t="n"/>
      <c r="P381" s="20">
        <f>O381-N381</f>
        <v/>
      </c>
      <c r="Q381" s="20">
        <f>P381*E381</f>
        <v/>
      </c>
      <c r="R381" s="20" t="n"/>
    </row>
    <row r="382" ht="20" customHeight="1" s="1">
      <c r="A382" s="21" t="inlineStr">
        <is>
          <t>16849</t>
        </is>
      </c>
      <c r="B382" s="22" t="inlineStr">
        <is>
          <t>Voi Smile</t>
        </is>
      </c>
      <c r="C382" s="21" t="inlineStr">
        <is>
          <t>8681608222579</t>
        </is>
      </c>
      <c r="D382" s="22" t="inlineStr">
        <is>
          <t>Voi Maye sabun Goat Milk 500ml</t>
        </is>
      </c>
      <c r="E382" s="23" t="n">
        <v>3.65</v>
      </c>
      <c r="F382" s="24" t="n">
        <v>12</v>
      </c>
      <c r="G382" s="24" t="n">
        <v>18</v>
      </c>
      <c r="H382" s="23" t="n">
        <v>18</v>
      </c>
      <c r="I382" s="23" t="n"/>
      <c r="J382" s="23" t="n"/>
      <c r="K382" s="19">
        <f>H382+I382+J382</f>
        <v/>
      </c>
      <c r="L382" s="19">
        <f>K382-G382</f>
        <v/>
      </c>
      <c r="M382" s="20">
        <f>L382*E382</f>
        <v/>
      </c>
      <c r="N382" s="20" t="n">
        <v>50</v>
      </c>
      <c r="O382" s="20" t="n"/>
      <c r="P382" s="20">
        <f>O382-N382</f>
        <v/>
      </c>
      <c r="Q382" s="20">
        <f>P382*E382</f>
        <v/>
      </c>
      <c r="R382" s="20" t="n"/>
    </row>
    <row r="383" ht="20" customHeight="1" s="1">
      <c r="A383" s="16" t="inlineStr">
        <is>
          <t>16850</t>
        </is>
      </c>
      <c r="B383" s="17" t="inlineStr">
        <is>
          <t>Voi Smile</t>
        </is>
      </c>
      <c r="C383" s="16" t="inlineStr">
        <is>
          <t>8681608222586</t>
        </is>
      </c>
      <c r="D383" s="17" t="inlineStr">
        <is>
          <t>Voi Maye sabun Olive Oil 500ml</t>
        </is>
      </c>
      <c r="E383" s="18" t="n">
        <v>3.65</v>
      </c>
      <c r="F383" s="25" t="n">
        <v>12</v>
      </c>
      <c r="G383" s="25" t="n">
        <v>85</v>
      </c>
      <c r="H383" s="18" t="n">
        <v>85</v>
      </c>
      <c r="I383" s="18" t="n"/>
      <c r="J383" s="18" t="n"/>
      <c r="K383" s="19">
        <f>H383+I383+J383</f>
        <v/>
      </c>
      <c r="L383" s="19">
        <f>K383-G383</f>
        <v/>
      </c>
      <c r="M383" s="20">
        <f>L383*E383</f>
        <v/>
      </c>
      <c r="N383" s="20" t="n">
        <v>50</v>
      </c>
      <c r="O383" s="20" t="n"/>
      <c r="P383" s="20">
        <f>O383-N383</f>
        <v/>
      </c>
      <c r="Q383" s="20">
        <f>P383*E383</f>
        <v/>
      </c>
      <c r="R383" s="20" t="n"/>
    </row>
    <row r="384" ht="20" customHeight="1" s="1">
      <c r="A384" s="21" t="inlineStr">
        <is>
          <t>16851</t>
        </is>
      </c>
      <c r="B384" s="22" t="inlineStr">
        <is>
          <t>Voi Smile</t>
        </is>
      </c>
      <c r="C384" s="21" t="inlineStr">
        <is>
          <t>8681608222593</t>
        </is>
      </c>
      <c r="D384" s="22" t="inlineStr">
        <is>
          <t>Voi Maye sabun Lemon 500ml</t>
        </is>
      </c>
      <c r="E384" s="23" t="n">
        <v>3.65</v>
      </c>
      <c r="F384" s="24" t="n">
        <v>12</v>
      </c>
      <c r="G384" s="24" t="n">
        <v>0</v>
      </c>
      <c r="H384" s="23" t="n">
        <v>0</v>
      </c>
      <c r="I384" s="23" t="n"/>
      <c r="J384" s="23" t="n"/>
      <c r="K384" s="19">
        <f>H384+I384+J384</f>
        <v/>
      </c>
      <c r="L384" s="19">
        <f>K384-G384</f>
        <v/>
      </c>
      <c r="M384" s="20">
        <f>L384*E384</f>
        <v/>
      </c>
      <c r="N384" s="20" t="n">
        <v>50</v>
      </c>
      <c r="O384" s="20" t="n"/>
      <c r="P384" s="20">
        <f>O384-N384</f>
        <v/>
      </c>
      <c r="Q384" s="20">
        <f>P384*E384</f>
        <v/>
      </c>
      <c r="R384" s="20" t="n"/>
    </row>
    <row r="385" ht="20" customHeight="1" s="1">
      <c r="A385" s="16" t="inlineStr">
        <is>
          <t>16852</t>
        </is>
      </c>
      <c r="B385" s="17" t="inlineStr">
        <is>
          <t>Voi Smile</t>
        </is>
      </c>
      <c r="C385" s="16" t="inlineStr">
        <is>
          <t>8681608222609</t>
        </is>
      </c>
      <c r="D385" s="17" t="inlineStr">
        <is>
          <t>Voi Maye sabun Seaweed 500 ml</t>
        </is>
      </c>
      <c r="E385" s="18" t="n">
        <v>3.65</v>
      </c>
      <c r="F385" s="25" t="n">
        <v>12</v>
      </c>
      <c r="G385" s="25" t="n">
        <v>63</v>
      </c>
      <c r="H385" s="18" t="n">
        <v>63</v>
      </c>
      <c r="I385" s="18" t="n"/>
      <c r="J385" s="18" t="n"/>
      <c r="K385" s="19">
        <f>H385+I385+J385</f>
        <v/>
      </c>
      <c r="L385" s="19">
        <f>K385-G385</f>
        <v/>
      </c>
      <c r="M385" s="20">
        <f>L385*E385</f>
        <v/>
      </c>
      <c r="N385" s="20" t="n">
        <v>50</v>
      </c>
      <c r="O385" s="20" t="n"/>
      <c r="P385" s="20">
        <f>O385-N385</f>
        <v/>
      </c>
      <c r="Q385" s="20">
        <f>P385*E385</f>
        <v/>
      </c>
      <c r="R385" s="20" t="n"/>
    </row>
    <row r="386" ht="20" customHeight="1" s="1">
      <c r="A386" s="21" t="inlineStr">
        <is>
          <t>21652</t>
        </is>
      </c>
      <c r="B386" s="22" t="inlineStr">
        <is>
          <t>Voi Smile</t>
        </is>
      </c>
      <c r="C386" s="21" t="inlineStr">
        <is>
          <t>8681608220247</t>
        </is>
      </c>
      <c r="D386" s="22" t="inlineStr">
        <is>
          <t>Voi Maye Sabun Vanilla 500ml</t>
        </is>
      </c>
      <c r="E386" s="23" t="n">
        <v>2.95</v>
      </c>
      <c r="F386" s="24" t="n">
        <v>12</v>
      </c>
      <c r="G386" s="24" t="n">
        <v>2</v>
      </c>
      <c r="H386" s="23" t="n"/>
      <c r="I386" s="23" t="n"/>
      <c r="J386" s="23" t="n"/>
      <c r="K386" s="19" t="n"/>
      <c r="L386" s="19" t="n"/>
      <c r="M386" s="20" t="n"/>
      <c r="N386" s="20" t="n">
        <v>50</v>
      </c>
      <c r="O386" s="20" t="n"/>
      <c r="P386" s="20">
        <f>O386-N386</f>
        <v/>
      </c>
      <c r="Q386" s="20">
        <f>P386*E386</f>
        <v/>
      </c>
      <c r="R386" s="20" t="n"/>
    </row>
    <row r="387" ht="20" customHeight="1" s="1">
      <c r="A387" s="16" t="inlineStr">
        <is>
          <t>18903</t>
        </is>
      </c>
      <c r="B387" s="17" t="inlineStr">
        <is>
          <t>Voi Smile</t>
        </is>
      </c>
      <c r="C387" s="16" t="inlineStr">
        <is>
          <t>8681608223613</t>
        </is>
      </c>
      <c r="D387" s="17" t="inlineStr">
        <is>
          <t>Voi Maye sabun Antibakterial 500ml</t>
        </is>
      </c>
      <c r="E387" s="18" t="n">
        <v>2.9</v>
      </c>
      <c r="F387" s="25" t="n">
        <v>12</v>
      </c>
      <c r="G387" s="25" t="n">
        <v>0</v>
      </c>
      <c r="H387" s="18" t="n">
        <v>0</v>
      </c>
      <c r="I387" s="18" t="n"/>
      <c r="J387" s="18" t="n"/>
      <c r="K387" s="19">
        <f>H387+I387+J387</f>
        <v/>
      </c>
      <c r="L387" s="19">
        <f>K387-G387</f>
        <v/>
      </c>
      <c r="M387" s="20">
        <f>L387*E387</f>
        <v/>
      </c>
      <c r="N387" s="20" t="n">
        <v>50</v>
      </c>
      <c r="O387" s="20" t="n"/>
      <c r="P387" s="20">
        <f>O387-N387</f>
        <v/>
      </c>
      <c r="Q387" s="20">
        <f>P387*E387</f>
        <v/>
      </c>
      <c r="R387" s="20" t="n"/>
    </row>
    <row r="388" ht="20" customHeight="1" s="1">
      <c r="A388" s="21" t="inlineStr">
        <is>
          <t>18904</t>
        </is>
      </c>
      <c r="B388" s="22" t="inlineStr">
        <is>
          <t>Voi Smile</t>
        </is>
      </c>
      <c r="C388" s="21" t="inlineStr">
        <is>
          <t>8681608223590</t>
        </is>
      </c>
      <c r="D388" s="22" t="inlineStr">
        <is>
          <t>Voi Maye sabun Antibakterial Seffaf 500 ml</t>
        </is>
      </c>
      <c r="E388" s="23" t="n">
        <v>2.9</v>
      </c>
      <c r="F388" s="24" t="n">
        <v>12</v>
      </c>
      <c r="G388" s="24" t="n">
        <v>1</v>
      </c>
      <c r="H388" s="23" t="n">
        <v>1</v>
      </c>
      <c r="I388" s="23" t="n"/>
      <c r="J388" s="23" t="n"/>
      <c r="K388" s="19">
        <f>H388+I388+J388</f>
        <v/>
      </c>
      <c r="L388" s="19">
        <f>K388-G388</f>
        <v/>
      </c>
      <c r="M388" s="20">
        <f>L388*E388</f>
        <v/>
      </c>
      <c r="N388" s="20" t="n">
        <v>50</v>
      </c>
      <c r="O388" s="20" t="n"/>
      <c r="P388" s="20">
        <f>O388-N388</f>
        <v/>
      </c>
      <c r="Q388" s="20">
        <f>P388*E388</f>
        <v/>
      </c>
      <c r="R388" s="20" t="n"/>
    </row>
    <row r="389" ht="20" customHeight="1" s="1">
      <c r="A389" s="16" t="inlineStr">
        <is>
          <t>16056</t>
        </is>
      </c>
      <c r="B389" s="17" t="inlineStr">
        <is>
          <t>Voi Smile</t>
        </is>
      </c>
      <c r="C389" s="16" t="inlineStr">
        <is>
          <t>8681608225396</t>
        </is>
      </c>
      <c r="D389" s="17" t="inlineStr">
        <is>
          <t>Voi Micellar Cleansing Water 200 ml</t>
        </is>
      </c>
      <c r="E389" s="18" t="n">
        <v>2.5</v>
      </c>
      <c r="F389" s="25" t="n">
        <v>24</v>
      </c>
      <c r="G389" s="25" t="n">
        <v>1</v>
      </c>
      <c r="H389" s="18" t="n">
        <v>1</v>
      </c>
      <c r="I389" s="18" t="n"/>
      <c r="J389" s="18" t="n"/>
      <c r="K389" s="19">
        <f>H389+I389+J389</f>
        <v/>
      </c>
      <c r="L389" s="19">
        <f>K389-G389</f>
        <v/>
      </c>
      <c r="M389" s="20">
        <f>L389*E389</f>
        <v/>
      </c>
      <c r="N389" s="20" t="n">
        <v>50</v>
      </c>
      <c r="O389" s="20" t="n"/>
      <c r="P389" s="20">
        <f>O389-N389</f>
        <v/>
      </c>
      <c r="Q389" s="20">
        <f>P389*E389</f>
        <v/>
      </c>
      <c r="R389" s="20" t="n"/>
    </row>
    <row r="390" ht="20" customHeight="1" s="1">
      <c r="A390" s="21" t="inlineStr">
        <is>
          <t>12697</t>
        </is>
      </c>
      <c r="B390" s="22" t="inlineStr">
        <is>
          <t>Voi Smile</t>
        </is>
      </c>
      <c r="C390" s="21" t="inlineStr">
        <is>
          <t>8681608220742</t>
        </is>
      </c>
      <c r="D390" s="22" t="inlineStr">
        <is>
          <t>Voi Aseton Green Apple 125ml</t>
        </is>
      </c>
      <c r="E390" s="23" t="n">
        <v>1.85</v>
      </c>
      <c r="F390" s="24" t="n">
        <v>24</v>
      </c>
      <c r="G390" s="24" t="n">
        <v>81</v>
      </c>
      <c r="H390" s="23" t="n">
        <v>69</v>
      </c>
      <c r="I390" s="26" t="n">
        <v>12</v>
      </c>
      <c r="J390" s="23" t="n"/>
      <c r="K390" s="19">
        <f>H390+I390+J390</f>
        <v/>
      </c>
      <c r="L390" s="19">
        <f>K390-G390</f>
        <v/>
      </c>
      <c r="M390" s="20">
        <f>L390*E390</f>
        <v/>
      </c>
      <c r="N390" s="20" t="n">
        <v>50</v>
      </c>
      <c r="O390" s="20" t="n"/>
      <c r="P390" s="20">
        <f>O390-N390</f>
        <v/>
      </c>
      <c r="Q390" s="20">
        <f>P390*E390</f>
        <v/>
      </c>
      <c r="R390" s="20" t="n"/>
    </row>
    <row r="391" ht="20" customHeight="1" s="1">
      <c r="A391" s="16" t="inlineStr">
        <is>
          <t>14813</t>
        </is>
      </c>
      <c r="B391" s="17" t="inlineStr">
        <is>
          <t>Voi Smile</t>
        </is>
      </c>
      <c r="C391" s="16" t="inlineStr">
        <is>
          <t>8681608220759</t>
        </is>
      </c>
      <c r="D391" s="17" t="inlineStr">
        <is>
          <t>Voi Aseton Strawberry 125ml</t>
        </is>
      </c>
      <c r="E391" s="18" t="n">
        <v>1.85</v>
      </c>
      <c r="F391" s="25" t="n">
        <v>24</v>
      </c>
      <c r="G391" s="25" t="n">
        <v>113</v>
      </c>
      <c r="H391" s="18" t="n">
        <v>101</v>
      </c>
      <c r="I391" s="26" t="n">
        <v>12</v>
      </c>
      <c r="J391" s="18" t="n"/>
      <c r="K391" s="19">
        <f>H391+I391+J391</f>
        <v/>
      </c>
      <c r="L391" s="19">
        <f>K391-G391</f>
        <v/>
      </c>
      <c r="M391" s="20">
        <f>L391*E391</f>
        <v/>
      </c>
      <c r="N391" s="20" t="n">
        <v>50</v>
      </c>
      <c r="O391" s="20" t="n"/>
      <c r="P391" s="20">
        <f>O391-N391</f>
        <v/>
      </c>
      <c r="Q391" s="20">
        <f>P391*E391</f>
        <v/>
      </c>
      <c r="R391" s="20" t="n"/>
    </row>
    <row r="392" ht="20" customHeight="1" s="1">
      <c r="A392" s="21" t="inlineStr">
        <is>
          <t>12652</t>
        </is>
      </c>
      <c r="B392" s="22" t="inlineStr">
        <is>
          <t>Voi Smile</t>
        </is>
      </c>
      <c r="C392" s="21" t="inlineStr">
        <is>
          <t>8681608220193</t>
        </is>
      </c>
      <c r="D392" s="22" t="inlineStr">
        <is>
          <t>Voi Qulaq copu 100pcs</t>
        </is>
      </c>
      <c r="E392" s="23" t="n">
        <v>1.25</v>
      </c>
      <c r="F392" s="24" t="n">
        <v>144</v>
      </c>
      <c r="G392" s="24" t="n">
        <v>370</v>
      </c>
      <c r="H392" s="23" t="n"/>
      <c r="I392" s="23" t="n"/>
      <c r="J392" s="23" t="n"/>
      <c r="K392" s="19" t="n"/>
      <c r="L392" s="19" t="n"/>
      <c r="M392" s="20" t="n"/>
      <c r="N392" s="20" t="n">
        <v>50</v>
      </c>
      <c r="O392" s="20" t="n"/>
      <c r="P392" s="20">
        <f>O392-N392</f>
        <v/>
      </c>
      <c r="Q392" s="20">
        <f>P392*E392</f>
        <v/>
      </c>
      <c r="R392" s="20" t="n"/>
    </row>
    <row r="393" ht="20" customHeight="1" s="1">
      <c r="A393" s="16" t="inlineStr">
        <is>
          <t>12653</t>
        </is>
      </c>
      <c r="B393" s="17" t="inlineStr">
        <is>
          <t>Voi Smile</t>
        </is>
      </c>
      <c r="C393" s="16" t="inlineStr">
        <is>
          <t>8681608220209</t>
        </is>
      </c>
      <c r="D393" s="17" t="inlineStr">
        <is>
          <t>Voi Qulaq copu 200pcs</t>
        </is>
      </c>
      <c r="E393" s="18" t="n">
        <v>1.95</v>
      </c>
      <c r="F393" s="25" t="n">
        <v>24</v>
      </c>
      <c r="G393" s="25" t="n">
        <v>468</v>
      </c>
      <c r="H393" s="18" t="n">
        <v>468</v>
      </c>
      <c r="I393" s="18" t="n"/>
      <c r="J393" s="18" t="n"/>
      <c r="K393" s="19">
        <f>H393+I393+J393</f>
        <v/>
      </c>
      <c r="L393" s="19">
        <f>K393-G393</f>
        <v/>
      </c>
      <c r="M393" s="20">
        <f>L393*E393</f>
        <v/>
      </c>
      <c r="N393" s="20" t="n">
        <v>50</v>
      </c>
      <c r="O393" s="20" t="n"/>
      <c r="P393" s="20">
        <f>O393-N393</f>
        <v/>
      </c>
      <c r="Q393" s="20">
        <f>P393*E393</f>
        <v/>
      </c>
      <c r="R393" s="20" t="n"/>
    </row>
    <row r="394" ht="20" customHeight="1" s="1">
      <c r="A394" s="21" t="inlineStr">
        <is>
          <t>12681</t>
        </is>
      </c>
      <c r="B394" s="22" t="inlineStr">
        <is>
          <t>Voi Smile</t>
        </is>
      </c>
      <c r="C394" s="21" t="inlineStr">
        <is>
          <t>8681608223118</t>
        </is>
      </c>
      <c r="D394" s="22" t="inlineStr">
        <is>
          <t>Voi Qulaq copu 300pcs</t>
        </is>
      </c>
      <c r="E394" s="23" t="n">
        <v>2.8</v>
      </c>
      <c r="F394" s="24" t="n">
        <v>144</v>
      </c>
      <c r="G394" s="24" t="n">
        <v>407</v>
      </c>
      <c r="H394" s="23" t="n">
        <v>407</v>
      </c>
      <c r="I394" s="23" t="n"/>
      <c r="J394" s="23" t="n"/>
      <c r="K394" s="19">
        <f>H394+I394+J394</f>
        <v/>
      </c>
      <c r="L394" s="19">
        <f>K394-G394</f>
        <v/>
      </c>
      <c r="M394" s="20">
        <f>L394*E394</f>
        <v/>
      </c>
      <c r="N394" s="20" t="n">
        <v>50</v>
      </c>
      <c r="O394" s="20" t="n"/>
      <c r="P394" s="20">
        <f>O394-N394</f>
        <v/>
      </c>
      <c r="Q394" s="20">
        <f>P394*E394</f>
        <v/>
      </c>
      <c r="R394" s="20" t="n"/>
    </row>
    <row r="395" ht="20" customHeight="1" s="1">
      <c r="A395" s="16" t="inlineStr">
        <is>
          <t>20837</t>
        </is>
      </c>
      <c r="B395" s="17" t="inlineStr">
        <is>
          <t>Voi Smile</t>
        </is>
      </c>
      <c r="C395" s="16" t="inlineStr">
        <is>
          <t>8681608225808</t>
        </is>
      </c>
      <c r="D395" s="17" t="inlineStr">
        <is>
          <t>Voi Kerati Sampun Cocoa Oil 400ml</t>
        </is>
      </c>
      <c r="E395" s="18" t="n">
        <v>7</v>
      </c>
      <c r="F395" s="25" t="n">
        <v>12</v>
      </c>
      <c r="G395" s="25" t="n">
        <v>47</v>
      </c>
      <c r="H395" s="18" t="n">
        <v>47</v>
      </c>
      <c r="I395" s="18" t="n"/>
      <c r="J395" s="18" t="n"/>
      <c r="K395" s="19">
        <f>H395+I395+J395</f>
        <v/>
      </c>
      <c r="L395" s="19">
        <f>K395-G395</f>
        <v/>
      </c>
      <c r="M395" s="20">
        <f>L395*E395</f>
        <v/>
      </c>
      <c r="N395" s="20" t="n">
        <v>50</v>
      </c>
      <c r="O395" s="20" t="n"/>
      <c r="P395" s="20">
        <f>O395-N395</f>
        <v/>
      </c>
      <c r="Q395" s="20">
        <f>P395*E395</f>
        <v/>
      </c>
      <c r="R395" s="20" t="n"/>
    </row>
    <row r="396" ht="20" customHeight="1" s="1">
      <c r="A396" s="21" t="inlineStr">
        <is>
          <t>20840</t>
        </is>
      </c>
      <c r="B396" s="22" t="inlineStr">
        <is>
          <t>Voi Smile</t>
        </is>
      </c>
      <c r="C396" s="21" t="inlineStr">
        <is>
          <t>8681608225785</t>
        </is>
      </c>
      <c r="D396" s="22" t="inlineStr">
        <is>
          <t>Voi Keratin Sampun Avocado Oil 400ml</t>
        </is>
      </c>
      <c r="E396" s="23" t="n">
        <v>7</v>
      </c>
      <c r="F396" s="24" t="n">
        <v>12</v>
      </c>
      <c r="G396" s="24" t="n">
        <v>42</v>
      </c>
      <c r="H396" s="23" t="n"/>
      <c r="I396" s="23" t="n"/>
      <c r="J396" s="23" t="n"/>
      <c r="K396" s="19" t="n"/>
      <c r="L396" s="19" t="n"/>
      <c r="M396" s="20" t="n"/>
      <c r="N396" s="20" t="n">
        <v>50</v>
      </c>
      <c r="O396" s="20" t="n"/>
      <c r="P396" s="20">
        <f>O396-N396</f>
        <v/>
      </c>
      <c r="Q396" s="20">
        <f>P396*E396</f>
        <v/>
      </c>
      <c r="R396" s="20" t="n"/>
    </row>
    <row r="397" ht="20" customHeight="1" s="1">
      <c r="A397" s="16" t="inlineStr">
        <is>
          <t>20843</t>
        </is>
      </c>
      <c r="B397" s="17" t="inlineStr">
        <is>
          <t>Voi Smile</t>
        </is>
      </c>
      <c r="C397" s="16" t="inlineStr">
        <is>
          <t>8681608225792</t>
        </is>
      </c>
      <c r="D397" s="17" t="inlineStr">
        <is>
          <t>Voi Keratin Sampun Argan Oil 400ml</t>
        </is>
      </c>
      <c r="E397" s="18" t="n">
        <v>7</v>
      </c>
      <c r="F397" s="25" t="n">
        <v>12</v>
      </c>
      <c r="G397" s="25" t="n">
        <v>35</v>
      </c>
      <c r="H397" s="18" t="n"/>
      <c r="I397" s="18" t="n"/>
      <c r="J397" s="18" t="n"/>
      <c r="K397" s="19" t="n"/>
      <c r="L397" s="19" t="n"/>
      <c r="M397" s="20" t="n"/>
      <c r="N397" s="20" t="n">
        <v>50</v>
      </c>
      <c r="O397" s="20" t="n"/>
      <c r="P397" s="20">
        <f>O397-N397</f>
        <v/>
      </c>
      <c r="Q397" s="20">
        <f>P397*E397</f>
        <v/>
      </c>
      <c r="R397" s="20" t="n"/>
    </row>
    <row r="398" ht="20" customHeight="1" s="1">
      <c r="A398" s="21" t="inlineStr">
        <is>
          <t>20838</t>
        </is>
      </c>
      <c r="B398" s="22" t="inlineStr">
        <is>
          <t>Voi Smile</t>
        </is>
      </c>
      <c r="C398" s="21" t="inlineStr">
        <is>
          <t>8681608225839</t>
        </is>
      </c>
      <c r="D398" s="22" t="inlineStr">
        <is>
          <t>Voi Keratin Kondisioner Cocoa Oil 400ml</t>
        </is>
      </c>
      <c r="E398" s="23" t="n">
        <v>7</v>
      </c>
      <c r="F398" s="24" t="n">
        <v>12</v>
      </c>
      <c r="G398" s="24" t="n">
        <v>46</v>
      </c>
      <c r="H398" s="23" t="n"/>
      <c r="I398" s="23" t="n"/>
      <c r="J398" s="23" t="n"/>
      <c r="K398" s="19" t="n"/>
      <c r="L398" s="19" t="n"/>
      <c r="M398" s="20" t="n"/>
      <c r="N398" s="20" t="n">
        <v>50</v>
      </c>
      <c r="O398" s="20" t="n"/>
      <c r="P398" s="20">
        <f>O398-N398</f>
        <v/>
      </c>
      <c r="Q398" s="20">
        <f>P398*E398</f>
        <v/>
      </c>
      <c r="R398" s="20" t="n"/>
    </row>
    <row r="399" ht="20" customHeight="1" s="1">
      <c r="A399" s="16" t="inlineStr">
        <is>
          <t>20841</t>
        </is>
      </c>
      <c r="B399" s="17" t="inlineStr">
        <is>
          <t>Voi Smile</t>
        </is>
      </c>
      <c r="C399" s="16" t="inlineStr">
        <is>
          <t>8681608225815</t>
        </is>
      </c>
      <c r="D399" s="17" t="inlineStr">
        <is>
          <t>Voi Keratin Kondisioner Avocado Oil 400ml</t>
        </is>
      </c>
      <c r="E399" s="18" t="n">
        <v>7</v>
      </c>
      <c r="F399" s="25" t="n">
        <v>12</v>
      </c>
      <c r="G399" s="25" t="n">
        <v>72</v>
      </c>
      <c r="H399" s="18" t="n"/>
      <c r="I399" s="18" t="n"/>
      <c r="J399" s="18" t="n"/>
      <c r="K399" s="19" t="n"/>
      <c r="L399" s="19" t="n"/>
      <c r="M399" s="20" t="n"/>
      <c r="N399" s="20" t="n">
        <v>50</v>
      </c>
      <c r="O399" s="20" t="n"/>
      <c r="P399" s="20">
        <f>O399-N399</f>
        <v/>
      </c>
      <c r="Q399" s="20">
        <f>P399*E399</f>
        <v/>
      </c>
      <c r="R399" s="20" t="n"/>
    </row>
    <row r="400" ht="20" customHeight="1" s="1">
      <c r="A400" s="21" t="inlineStr">
        <is>
          <t>20844</t>
        </is>
      </c>
      <c r="B400" s="22" t="inlineStr">
        <is>
          <t>Voi Smile</t>
        </is>
      </c>
      <c r="C400" s="21" t="inlineStr">
        <is>
          <t>8681608225822</t>
        </is>
      </c>
      <c r="D400" s="22" t="inlineStr">
        <is>
          <t>Voi Keratin Kondisioner Argan Oil 400ml</t>
        </is>
      </c>
      <c r="E400" s="23" t="n">
        <v>7</v>
      </c>
      <c r="F400" s="24" t="n">
        <v>12</v>
      </c>
      <c r="G400" s="24" t="n">
        <v>49</v>
      </c>
      <c r="H400" s="23" t="n"/>
      <c r="I400" s="23" t="n"/>
      <c r="J400" s="23" t="n"/>
      <c r="K400" s="19" t="n"/>
      <c r="L400" s="19" t="n"/>
      <c r="M400" s="20" t="n"/>
      <c r="N400" s="20" t="n">
        <v>50</v>
      </c>
      <c r="O400" s="20" t="n"/>
      <c r="P400" s="20">
        <f>O400-N400</f>
        <v/>
      </c>
      <c r="Q400" s="20">
        <f>P400*E400</f>
        <v/>
      </c>
      <c r="R400" s="20" t="n"/>
    </row>
    <row r="401" ht="20" customHeight="1" s="1">
      <c r="A401" s="16" t="inlineStr">
        <is>
          <t>20839</t>
        </is>
      </c>
      <c r="B401" s="17" t="inlineStr">
        <is>
          <t>Voi Smile</t>
        </is>
      </c>
      <c r="C401" s="16" t="inlineStr">
        <is>
          <t>8681608225860</t>
        </is>
      </c>
      <c r="D401" s="17" t="inlineStr">
        <is>
          <t>Voi Keratin Sac maskasi Cocoa Oil 350ml</t>
        </is>
      </c>
      <c r="E401" s="18" t="n">
        <v>8.800000000000001</v>
      </c>
      <c r="F401" s="25" t="n">
        <v>12</v>
      </c>
      <c r="G401" s="25" t="n">
        <v>0</v>
      </c>
      <c r="H401" s="18" t="n"/>
      <c r="I401" s="18" t="n">
        <v>0</v>
      </c>
      <c r="J401" s="18" t="n"/>
      <c r="K401" s="19">
        <f>H401+I401+J401</f>
        <v/>
      </c>
      <c r="L401" s="19">
        <f>K401-G401</f>
        <v/>
      </c>
      <c r="M401" s="20">
        <f>L401*E401</f>
        <v/>
      </c>
      <c r="N401" s="20" t="n">
        <v>50</v>
      </c>
      <c r="O401" s="20" t="n"/>
      <c r="P401" s="20">
        <f>O401-N401</f>
        <v/>
      </c>
      <c r="Q401" s="20">
        <f>P401*E401</f>
        <v/>
      </c>
      <c r="R401" s="20" t="n"/>
    </row>
    <row r="402" ht="20" customHeight="1" s="1">
      <c r="A402" s="21" t="inlineStr">
        <is>
          <t>20846</t>
        </is>
      </c>
      <c r="B402" s="22" t="inlineStr">
        <is>
          <t>Voi Smile</t>
        </is>
      </c>
      <c r="C402" s="21" t="inlineStr">
        <is>
          <t>8681608224658</t>
        </is>
      </c>
      <c r="D402" s="22" t="inlineStr">
        <is>
          <t>Voi Dus geli Goat Milk Extract 400ml</t>
        </is>
      </c>
      <c r="E402" s="23" t="n">
        <v>3.3</v>
      </c>
      <c r="F402" s="24" t="n">
        <v>12</v>
      </c>
      <c r="G402" s="24" t="n">
        <v>8</v>
      </c>
      <c r="H402" s="23" t="n"/>
      <c r="I402" s="23" t="n">
        <v>8</v>
      </c>
      <c r="J402" s="23" t="n"/>
      <c r="K402" s="19">
        <f>H402+I402+J402</f>
        <v/>
      </c>
      <c r="L402" s="19">
        <f>K402-G402</f>
        <v/>
      </c>
      <c r="M402" s="20">
        <f>L402*E402</f>
        <v/>
      </c>
      <c r="N402" s="20" t="n">
        <v>50</v>
      </c>
      <c r="O402" s="20" t="n"/>
      <c r="P402" s="20">
        <f>O402-N402</f>
        <v/>
      </c>
      <c r="Q402" s="20">
        <f>P402*E402</f>
        <v/>
      </c>
      <c r="R402" s="20" t="n"/>
    </row>
    <row r="403" ht="20" customHeight="1" s="1">
      <c r="A403" s="16" t="inlineStr">
        <is>
          <t>20847</t>
        </is>
      </c>
      <c r="B403" s="17" t="inlineStr">
        <is>
          <t>Voi Smile</t>
        </is>
      </c>
      <c r="C403" s="16" t="inlineStr">
        <is>
          <t>8681608224665</t>
        </is>
      </c>
      <c r="D403" s="17" t="inlineStr">
        <is>
          <t>Voi Dus geli Virgin Olive Oil 400ml</t>
        </is>
      </c>
      <c r="E403" s="18" t="n">
        <v>3.3</v>
      </c>
      <c r="F403" s="25" t="n">
        <v>12</v>
      </c>
      <c r="G403" s="25" t="n">
        <v>20</v>
      </c>
      <c r="H403" s="18" t="n"/>
      <c r="I403" s="18" t="n">
        <v>20</v>
      </c>
      <c r="J403" s="18" t="n"/>
      <c r="K403" s="19">
        <f>H403+I403+J403</f>
        <v/>
      </c>
      <c r="L403" s="19">
        <f>K403-G403</f>
        <v/>
      </c>
      <c r="M403" s="20">
        <f>L403*E403</f>
        <v/>
      </c>
      <c r="N403" s="20" t="n">
        <v>50</v>
      </c>
      <c r="O403" s="20" t="n"/>
      <c r="P403" s="20">
        <f>O403-N403</f>
        <v/>
      </c>
      <c r="Q403" s="20">
        <f>P403*E403</f>
        <v/>
      </c>
      <c r="R403" s="20" t="n"/>
    </row>
    <row r="404" ht="20" customHeight="1" s="1">
      <c r="A404" s="21" t="inlineStr">
        <is>
          <t>20848</t>
        </is>
      </c>
      <c r="B404" s="22" t="inlineStr">
        <is>
          <t>Voi Smile</t>
        </is>
      </c>
      <c r="C404" s="21" t="inlineStr">
        <is>
          <t>8681608224689</t>
        </is>
      </c>
      <c r="D404" s="22" t="inlineStr">
        <is>
          <t>Voi Dus geli Dead Sea Minerals Extract 400ml</t>
        </is>
      </c>
      <c r="E404" s="23" t="n">
        <v>3.3</v>
      </c>
      <c r="F404" s="24" t="n">
        <v>12</v>
      </c>
      <c r="G404" s="24" t="n">
        <v>27</v>
      </c>
      <c r="H404" s="23" t="n"/>
      <c r="I404" s="23" t="n">
        <v>27</v>
      </c>
      <c r="J404" s="23" t="n"/>
      <c r="K404" s="19">
        <f>H404+I404+J404</f>
        <v/>
      </c>
      <c r="L404" s="19">
        <f>K404-G404</f>
        <v/>
      </c>
      <c r="M404" s="20">
        <f>L404*E404</f>
        <v/>
      </c>
      <c r="N404" s="20" t="n">
        <v>50</v>
      </c>
      <c r="O404" s="20" t="n"/>
      <c r="P404" s="20">
        <f>O404-N404</f>
        <v/>
      </c>
      <c r="Q404" s="20">
        <f>P404*E404</f>
        <v/>
      </c>
      <c r="R404" s="20" t="n"/>
    </row>
    <row r="405" ht="20" customHeight="1" s="1">
      <c r="A405" s="16" t="inlineStr">
        <is>
          <t>20849</t>
        </is>
      </c>
      <c r="B405" s="17" t="inlineStr">
        <is>
          <t>Voi Smile</t>
        </is>
      </c>
      <c r="C405" s="16" t="inlineStr">
        <is>
          <t>8681608224672</t>
        </is>
      </c>
      <c r="D405" s="17" t="inlineStr">
        <is>
          <t>Voi Dus geli Shea Butter&amp;Jasmine Extract 400ml</t>
        </is>
      </c>
      <c r="E405" s="18" t="n">
        <v>3.3</v>
      </c>
      <c r="F405" s="25" t="n">
        <v>12</v>
      </c>
      <c r="G405" s="25" t="n">
        <v>4</v>
      </c>
      <c r="H405" s="18" t="n"/>
      <c r="I405" s="18" t="n">
        <v>4</v>
      </c>
      <c r="J405" s="18" t="n"/>
      <c r="K405" s="19">
        <f>H405+I405+J405</f>
        <v/>
      </c>
      <c r="L405" s="19">
        <f>K405-G405</f>
        <v/>
      </c>
      <c r="M405" s="20">
        <f>L405*E405</f>
        <v/>
      </c>
      <c r="N405" s="20" t="n">
        <v>50</v>
      </c>
      <c r="O405" s="20" t="n"/>
      <c r="P405" s="20">
        <f>O405-N405</f>
        <v/>
      </c>
      <c r="Q405" s="20">
        <f>P405*E405</f>
        <v/>
      </c>
      <c r="R405" s="20" t="n"/>
    </row>
    <row r="406" ht="20" customHeight="1" s="1">
      <c r="A406" s="21" t="inlineStr">
        <is>
          <t>21040</t>
        </is>
      </c>
      <c r="B406" s="22" t="inlineStr">
        <is>
          <t>Voi Smile</t>
        </is>
      </c>
      <c r="C406" s="21" t="inlineStr">
        <is>
          <t>8681608226225</t>
        </is>
      </c>
      <c r="D406" s="22" t="inlineStr">
        <is>
          <t>Voi Dus geli Pure Coconut 400ml</t>
        </is>
      </c>
      <c r="E406" s="23" t="n">
        <v>4.2</v>
      </c>
      <c r="F406" s="24" t="n">
        <v>12</v>
      </c>
      <c r="G406" s="24" t="n">
        <v>0</v>
      </c>
      <c r="H406" s="23" t="n"/>
      <c r="I406" s="23" t="n">
        <v>0</v>
      </c>
      <c r="J406" s="23" t="n"/>
      <c r="K406" s="19">
        <f>H406+I406+J406</f>
        <v/>
      </c>
      <c r="L406" s="19">
        <f>K406-G406</f>
        <v/>
      </c>
      <c r="M406" s="20">
        <f>L406*E406</f>
        <v/>
      </c>
      <c r="N406" s="20" t="n">
        <v>50</v>
      </c>
      <c r="O406" s="20" t="n"/>
      <c r="P406" s="20">
        <f>O406-N406</f>
        <v/>
      </c>
      <c r="Q406" s="20">
        <f>P406*E406</f>
        <v/>
      </c>
      <c r="R406" s="20" t="n"/>
    </row>
    <row r="407" ht="20" customHeight="1" s="1">
      <c r="A407" s="16" t="inlineStr">
        <is>
          <t>21041</t>
        </is>
      </c>
      <c r="B407" s="17" t="inlineStr">
        <is>
          <t>Voi Smile</t>
        </is>
      </c>
      <c r="C407" s="16" t="inlineStr">
        <is>
          <t>8681608226232</t>
        </is>
      </c>
      <c r="D407" s="17" t="inlineStr">
        <is>
          <t>Voi Dus geli Sweet Orange 400ml</t>
        </is>
      </c>
      <c r="E407" s="18" t="n">
        <v>4.2</v>
      </c>
      <c r="F407" s="25" t="n">
        <v>12</v>
      </c>
      <c r="G407" s="25" t="n">
        <v>1</v>
      </c>
      <c r="H407" s="18" t="n"/>
      <c r="I407" s="18" t="n">
        <v>1</v>
      </c>
      <c r="J407" s="18" t="n"/>
      <c r="K407" s="19">
        <f>H407+I407+J407</f>
        <v/>
      </c>
      <c r="L407" s="19">
        <f>K407-G407</f>
        <v/>
      </c>
      <c r="M407" s="20">
        <f>L407*E407</f>
        <v/>
      </c>
      <c r="N407" s="20" t="n">
        <v>50</v>
      </c>
      <c r="O407" s="20" t="n"/>
      <c r="P407" s="20">
        <f>O407-N407</f>
        <v/>
      </c>
      <c r="Q407" s="20">
        <f>P407*E407</f>
        <v/>
      </c>
      <c r="R407" s="20" t="n"/>
    </row>
    <row r="408" ht="20" customHeight="1" s="1">
      <c r="A408" s="21" t="inlineStr">
        <is>
          <t>21042</t>
        </is>
      </c>
      <c r="B408" s="22" t="inlineStr">
        <is>
          <t>Voi Smile</t>
        </is>
      </c>
      <c r="C408" s="21" t="inlineStr">
        <is>
          <t>8681608226256</t>
        </is>
      </c>
      <c r="D408" s="22" t="inlineStr">
        <is>
          <t>Voi Dus geli Spa Cactus 400ml</t>
        </is>
      </c>
      <c r="E408" s="23" t="n">
        <v>4.2</v>
      </c>
      <c r="F408" s="24" t="n">
        <v>12</v>
      </c>
      <c r="G408" s="24" t="n">
        <v>19</v>
      </c>
      <c r="H408" s="23" t="n"/>
      <c r="I408" s="23" t="n">
        <v>19</v>
      </c>
      <c r="J408" s="23" t="n"/>
      <c r="K408" s="19">
        <f>H408+I408+J408</f>
        <v/>
      </c>
      <c r="L408" s="19">
        <f>K408-G408</f>
        <v/>
      </c>
      <c r="M408" s="20">
        <f>L408*E408</f>
        <v/>
      </c>
      <c r="N408" s="20" t="n">
        <v>50</v>
      </c>
      <c r="O408" s="20" t="n"/>
      <c r="P408" s="20">
        <f>O408-N408</f>
        <v/>
      </c>
      <c r="Q408" s="20">
        <f>P408*E408</f>
        <v/>
      </c>
      <c r="R408" s="20" t="n"/>
    </row>
    <row r="409" ht="20" customHeight="1" s="1">
      <c r="A409" s="16" t="inlineStr">
        <is>
          <t>21043</t>
        </is>
      </c>
      <c r="B409" s="17" t="inlineStr">
        <is>
          <t>Voi Smile</t>
        </is>
      </c>
      <c r="C409" s="16" t="inlineStr">
        <is>
          <t>8681608226249</t>
        </is>
      </c>
      <c r="D409" s="17" t="inlineStr">
        <is>
          <t>Voi Dus geli Spa Aloe Vera 400ml</t>
        </is>
      </c>
      <c r="E409" s="18" t="n">
        <v>4.2</v>
      </c>
      <c r="F409" s="25" t="n">
        <v>12</v>
      </c>
      <c r="G409" s="25" t="n">
        <v>6</v>
      </c>
      <c r="H409" s="18" t="n"/>
      <c r="I409" s="18" t="n">
        <v>6</v>
      </c>
      <c r="J409" s="18" t="n"/>
      <c r="K409" s="19">
        <f>H409+I409+J409</f>
        <v/>
      </c>
      <c r="L409" s="19">
        <f>K409-G409</f>
        <v/>
      </c>
      <c r="M409" s="20">
        <f>L409*E409</f>
        <v/>
      </c>
      <c r="N409" s="20" t="n">
        <v>50</v>
      </c>
      <c r="O409" s="20" t="n"/>
      <c r="P409" s="20">
        <f>O409-N409</f>
        <v/>
      </c>
      <c r="Q409" s="20">
        <f>P409*E409</f>
        <v/>
      </c>
      <c r="R409" s="20" t="n"/>
    </row>
    <row r="410" ht="20" customHeight="1" s="1">
      <c r="A410" s="21" t="inlineStr">
        <is>
          <t>19132</t>
        </is>
      </c>
      <c r="B410" s="22" t="inlineStr">
        <is>
          <t>Voi Smile</t>
        </is>
      </c>
      <c r="C410" s="21" t="inlineStr">
        <is>
          <t>8681608224979</t>
        </is>
      </c>
      <c r="D410" s="22" t="inlineStr">
        <is>
          <t>Voi Baby Whash &amp; Shampoo 500ml</t>
        </is>
      </c>
      <c r="E410" s="23" t="n">
        <v>4.1</v>
      </c>
      <c r="F410" s="24" t="n">
        <v>12</v>
      </c>
      <c r="G410" s="24" t="n">
        <v>17</v>
      </c>
      <c r="H410" s="23" t="n"/>
      <c r="I410" s="23" t="n">
        <v>17</v>
      </c>
      <c r="J410" s="23" t="n"/>
      <c r="K410" s="19">
        <f>H410+I410+J410</f>
        <v/>
      </c>
      <c r="L410" s="19">
        <f>K410-G410</f>
        <v/>
      </c>
      <c r="M410" s="20">
        <f>L410*E410</f>
        <v/>
      </c>
      <c r="N410" s="20" t="n">
        <v>50</v>
      </c>
      <c r="O410" s="20" t="n"/>
      <c r="P410" s="20">
        <f>O410-N410</f>
        <v/>
      </c>
      <c r="Q410" s="20">
        <f>P410*E410</f>
        <v/>
      </c>
      <c r="R410" s="20" t="n"/>
    </row>
    <row r="411" ht="20" customHeight="1" s="1">
      <c r="A411" s="16" t="inlineStr">
        <is>
          <t>21937</t>
        </is>
      </c>
      <c r="B411" s="17" t="inlineStr">
        <is>
          <t>Voi Smile</t>
        </is>
      </c>
      <c r="C411" s="16" t="inlineStr">
        <is>
          <t>8681608226799</t>
        </is>
      </c>
      <c r="D411" s="17" t="inlineStr">
        <is>
          <t>Voi Maye sabun Amber Oud 500ml</t>
        </is>
      </c>
      <c r="E411" s="18" t="n">
        <v>3.8</v>
      </c>
      <c r="F411" s="25" t="n">
        <v>12</v>
      </c>
      <c r="G411" s="25" t="n">
        <v>2</v>
      </c>
      <c r="H411" s="18" t="n"/>
      <c r="I411" s="18" t="n">
        <v>2</v>
      </c>
      <c r="J411" s="18" t="n"/>
      <c r="K411" s="19">
        <f>H411+I411+J411</f>
        <v/>
      </c>
      <c r="L411" s="19">
        <f>K411-G411</f>
        <v/>
      </c>
      <c r="M411" s="20">
        <f>L411*E411</f>
        <v/>
      </c>
      <c r="N411" s="20" t="n">
        <v>50</v>
      </c>
      <c r="O411" s="20" t="n"/>
      <c r="P411" s="20">
        <f>O411-N411</f>
        <v/>
      </c>
      <c r="Q411" s="20">
        <f>P411*E411</f>
        <v/>
      </c>
      <c r="R411" s="20" t="n"/>
    </row>
    <row r="412" ht="20" customHeight="1" s="1">
      <c r="A412" s="21" t="inlineStr">
        <is>
          <t>19133</t>
        </is>
      </c>
      <c r="B412" s="22" t="inlineStr">
        <is>
          <t>Voi Smile</t>
        </is>
      </c>
      <c r="C412" s="21" t="inlineStr">
        <is>
          <t>8681608224986</t>
        </is>
      </c>
      <c r="D412" s="22" t="inlineStr">
        <is>
          <t>Voi Baby Oil 115 ml</t>
        </is>
      </c>
      <c r="E412" s="23" t="n">
        <v>3.3</v>
      </c>
      <c r="F412" s="24" t="n">
        <v>24</v>
      </c>
      <c r="G412" s="24" t="n">
        <v>23</v>
      </c>
      <c r="H412" s="23" t="n"/>
      <c r="I412" s="23" t="n">
        <v>23</v>
      </c>
      <c r="J412" s="23" t="n"/>
      <c r="K412" s="19">
        <f>H412+I412+J412</f>
        <v/>
      </c>
      <c r="L412" s="19">
        <f>K412-G412</f>
        <v/>
      </c>
      <c r="M412" s="20">
        <f>L412*E412</f>
        <v/>
      </c>
      <c r="N412" s="20" t="n">
        <v>50</v>
      </c>
      <c r="O412" s="20" t="n"/>
      <c r="P412" s="20">
        <f>O412-N412</f>
        <v/>
      </c>
      <c r="Q412" s="20">
        <f>P412*E412</f>
        <v/>
      </c>
      <c r="R412" s="20" t="n"/>
    </row>
    <row r="413" ht="20" customHeight="1" s="1">
      <c r="A413" s="16" t="inlineStr">
        <is>
          <t>19134</t>
        </is>
      </c>
      <c r="B413" s="17" t="inlineStr">
        <is>
          <t>Voi Smile</t>
        </is>
      </c>
      <c r="C413" s="16" t="inlineStr">
        <is>
          <t>8681608224993</t>
        </is>
      </c>
      <c r="D413" s="17" t="inlineStr">
        <is>
          <t>Voi Baby Cologne 115 ml</t>
        </is>
      </c>
      <c r="E413" s="18" t="n">
        <v>3</v>
      </c>
      <c r="F413" s="25" t="n">
        <v>24</v>
      </c>
      <c r="G413" s="25" t="n">
        <v>74</v>
      </c>
      <c r="H413" s="18" t="n"/>
      <c r="I413" s="18" t="n">
        <v>74</v>
      </c>
      <c r="J413" s="18" t="n"/>
      <c r="K413" s="19">
        <f>H413+I413+J413</f>
        <v/>
      </c>
      <c r="L413" s="19">
        <f>K413-G413</f>
        <v/>
      </c>
      <c r="M413" s="20">
        <f>L413*E413</f>
        <v/>
      </c>
      <c r="N413" s="20" t="n">
        <v>50</v>
      </c>
      <c r="O413" s="20" t="n"/>
      <c r="P413" s="20">
        <f>O413-N413</f>
        <v/>
      </c>
      <c r="Q413" s="20">
        <f>P413*E413</f>
        <v/>
      </c>
      <c r="R413" s="20" t="n"/>
    </row>
    <row r="414" ht="20" customHeight="1" s="1">
      <c r="A414" s="21" t="inlineStr">
        <is>
          <t>10451</t>
        </is>
      </c>
      <c r="B414" s="22" t="inlineStr">
        <is>
          <t>3DELUXE</t>
        </is>
      </c>
      <c r="C414" s="21" t="inlineStr">
        <is>
          <t>8022033015082</t>
        </is>
      </c>
      <c r="D414" s="22" t="inlineStr">
        <is>
          <t>3Deluxe Professional 100ml 1.0</t>
        </is>
      </c>
      <c r="E414" s="23" t="n">
        <v>5.5</v>
      </c>
      <c r="F414" s="23" t="n">
        <v>72</v>
      </c>
      <c r="G414" s="23" t="n">
        <v>84</v>
      </c>
      <c r="H414" s="23" t="n"/>
      <c r="I414" s="23" t="n"/>
      <c r="J414" s="23" t="n"/>
      <c r="K414" s="19" t="n"/>
      <c r="L414" s="19" t="n"/>
      <c r="M414" s="20" t="n"/>
      <c r="N414" s="20" t="n">
        <v>50</v>
      </c>
      <c r="O414" s="20" t="n"/>
      <c r="P414" s="20">
        <f>O414-N414</f>
        <v/>
      </c>
      <c r="Q414" s="20">
        <f>P414*E414</f>
        <v/>
      </c>
      <c r="R414" s="20" t="n"/>
    </row>
    <row r="415" ht="20" customHeight="1" s="1">
      <c r="A415" s="16" t="inlineStr">
        <is>
          <t>22016</t>
        </is>
      </c>
      <c r="B415" s="17" t="inlineStr">
        <is>
          <t>3DELUXE</t>
        </is>
      </c>
      <c r="C415" s="16" t="inlineStr">
        <is>
          <t>8022033015167</t>
        </is>
      </c>
      <c r="D415" s="17" t="inlineStr">
        <is>
          <t>3Deluxe 100ml 1.10 Blue Black</t>
        </is>
      </c>
      <c r="E415" s="18" t="n">
        <v>5.5</v>
      </c>
      <c r="F415" s="18" t="n">
        <v>72</v>
      </c>
      <c r="G415" s="18" t="n">
        <v>151</v>
      </c>
      <c r="H415" s="18" t="n"/>
      <c r="I415" s="18" t="n">
        <v>151</v>
      </c>
      <c r="J415" s="18" t="n"/>
      <c r="K415" s="19">
        <f>H415+I415+J415</f>
        <v/>
      </c>
      <c r="L415" s="19">
        <f>K415-G415</f>
        <v/>
      </c>
      <c r="M415" s="20">
        <f>L415*E415</f>
        <v/>
      </c>
      <c r="N415" s="20" t="n">
        <v>50</v>
      </c>
      <c r="O415" s="20" t="n">
        <v>2</v>
      </c>
      <c r="P415" s="20">
        <f>O415-N415</f>
        <v/>
      </c>
      <c r="Q415" s="20">
        <f>P415*E415</f>
        <v/>
      </c>
      <c r="R415" s="20" t="inlineStr">
        <is>
          <t>Perviz</t>
        </is>
      </c>
    </row>
    <row r="416" ht="20" customHeight="1" s="1">
      <c r="A416" s="21" t="inlineStr">
        <is>
          <t>10454</t>
        </is>
      </c>
      <c r="B416" s="22" t="inlineStr">
        <is>
          <t>3DELUXE</t>
        </is>
      </c>
      <c r="C416" s="21" t="inlineStr">
        <is>
          <t>8022033015075</t>
        </is>
      </c>
      <c r="D416" s="22" t="inlineStr">
        <is>
          <t>3Deluxe Professional 100ml 3.0</t>
        </is>
      </c>
      <c r="E416" s="23" t="n">
        <v>5.5</v>
      </c>
      <c r="F416" s="23" t="n">
        <v>72</v>
      </c>
      <c r="G416" s="23" t="n">
        <v>124</v>
      </c>
      <c r="H416" s="23" t="n"/>
      <c r="I416" s="23" t="n">
        <v>124</v>
      </c>
      <c r="J416" s="23" t="n"/>
      <c r="K416" s="19">
        <f>H416+I416+J416</f>
        <v/>
      </c>
      <c r="L416" s="19">
        <f>K416-G416</f>
        <v/>
      </c>
      <c r="M416" s="20">
        <f>L416*E416</f>
        <v/>
      </c>
      <c r="N416" s="20" t="n">
        <v>50</v>
      </c>
      <c r="O416" s="20" t="n"/>
      <c r="P416" s="20">
        <f>O416-N416</f>
        <v/>
      </c>
      <c r="Q416" s="20">
        <f>P416*E416</f>
        <v/>
      </c>
      <c r="R416" s="20" t="n"/>
    </row>
    <row r="417" ht="20" customHeight="1" s="1">
      <c r="A417" s="16" t="inlineStr">
        <is>
          <t>10675</t>
        </is>
      </c>
      <c r="B417" s="17" t="inlineStr">
        <is>
          <t>3DELUXE</t>
        </is>
      </c>
      <c r="C417" s="16" t="inlineStr">
        <is>
          <t>8022033015655</t>
        </is>
      </c>
      <c r="D417" s="17" t="inlineStr">
        <is>
          <t>3Deluxe Professional 100ml 4.00</t>
        </is>
      </c>
      <c r="E417" s="18" t="n">
        <v>5.5</v>
      </c>
      <c r="F417" s="18" t="n">
        <v>72</v>
      </c>
      <c r="G417" s="18" t="n">
        <v>52</v>
      </c>
      <c r="H417" s="18" t="n"/>
      <c r="I417" s="18" t="n">
        <v>52</v>
      </c>
      <c r="J417" s="18" t="n"/>
      <c r="K417" s="19">
        <f>H417+I417+J417</f>
        <v/>
      </c>
      <c r="L417" s="19">
        <f>K417-G417</f>
        <v/>
      </c>
      <c r="M417" s="20">
        <f>L417*E417</f>
        <v/>
      </c>
      <c r="N417" s="20" t="n">
        <v>50</v>
      </c>
      <c r="O417" s="20" t="n"/>
      <c r="P417" s="20">
        <f>O417-N417</f>
        <v/>
      </c>
      <c r="Q417" s="20">
        <f>P417*E417</f>
        <v/>
      </c>
      <c r="R417" s="20" t="n"/>
    </row>
    <row r="418" ht="20" customHeight="1" s="1">
      <c r="A418" s="21" t="inlineStr">
        <is>
          <t>10468</t>
        </is>
      </c>
      <c r="B418" s="22" t="inlineStr">
        <is>
          <t>3DELUXE</t>
        </is>
      </c>
      <c r="C418" s="21" t="inlineStr">
        <is>
          <t>8022033015068</t>
        </is>
      </c>
      <c r="D418" s="22" t="inlineStr">
        <is>
          <t>3Deluxe Professional 100ml 4.0</t>
        </is>
      </c>
      <c r="E418" s="23" t="n">
        <v>5.5</v>
      </c>
      <c r="F418" s="23" t="n">
        <v>72</v>
      </c>
      <c r="G418" s="23" t="n">
        <v>132</v>
      </c>
      <c r="H418" s="23" t="n"/>
      <c r="I418" s="23" t="n"/>
      <c r="J418" s="23" t="n"/>
      <c r="K418" s="19" t="n"/>
      <c r="L418" s="19" t="n"/>
      <c r="M418" s="20" t="n"/>
      <c r="N418" s="20" t="n">
        <v>50</v>
      </c>
      <c r="O418" s="20" t="n"/>
      <c r="P418" s="20">
        <f>O418-N418</f>
        <v/>
      </c>
      <c r="Q418" s="20">
        <f>P418*E418</f>
        <v/>
      </c>
      <c r="R418" s="20" t="n"/>
    </row>
    <row r="419" ht="20" customHeight="1" s="1">
      <c r="A419" s="16" t="inlineStr">
        <is>
          <t>10517</t>
        </is>
      </c>
      <c r="B419" s="17" t="inlineStr">
        <is>
          <t>3DELUXE</t>
        </is>
      </c>
      <c r="C419" s="16" t="inlineStr">
        <is>
          <t>8022033015150</t>
        </is>
      </c>
      <c r="D419" s="17" t="inlineStr">
        <is>
          <t>3Deluxe Professional 100ml 4.1</t>
        </is>
      </c>
      <c r="E419" s="18" t="n">
        <v>5.5</v>
      </c>
      <c r="F419" s="18" t="n">
        <v>72</v>
      </c>
      <c r="G419" s="18" t="n">
        <v>125</v>
      </c>
      <c r="H419" s="18" t="n"/>
      <c r="I419" s="18" t="n">
        <v>125</v>
      </c>
      <c r="J419" s="18" t="n"/>
      <c r="K419" s="19">
        <f>H419+I419+J419</f>
        <v/>
      </c>
      <c r="L419" s="19">
        <f>K419-G419</f>
        <v/>
      </c>
      <c r="M419" s="20">
        <f>L419*E419</f>
        <v/>
      </c>
      <c r="N419" s="20" t="n">
        <v>50</v>
      </c>
      <c r="O419" s="20" t="n"/>
      <c r="P419" s="20">
        <f>O419-N419</f>
        <v/>
      </c>
      <c r="Q419" s="20">
        <f>P419*E419</f>
        <v/>
      </c>
      <c r="R419" s="20" t="n"/>
    </row>
    <row r="420" ht="20" customHeight="1" s="1">
      <c r="A420" s="21" t="inlineStr">
        <is>
          <t>10693</t>
        </is>
      </c>
      <c r="B420" s="22" t="inlineStr">
        <is>
          <t>3DELUXE</t>
        </is>
      </c>
      <c r="C420" s="21" t="inlineStr">
        <is>
          <t>8022033015228</t>
        </is>
      </c>
      <c r="D420" s="22" t="inlineStr">
        <is>
          <t>3Deluxe Professional 100ml 4.3</t>
        </is>
      </c>
      <c r="E420" s="23" t="n">
        <v>5.5</v>
      </c>
      <c r="F420" s="23" t="n">
        <v>72</v>
      </c>
      <c r="G420" s="23" t="n">
        <v>132</v>
      </c>
      <c r="H420" s="23" t="n"/>
      <c r="I420" s="23" t="n">
        <v>132</v>
      </c>
      <c r="J420" s="23" t="n"/>
      <c r="K420" s="19">
        <f>H420+I420+J420</f>
        <v/>
      </c>
      <c r="L420" s="19">
        <f>K420-G420</f>
        <v/>
      </c>
      <c r="M420" s="20">
        <f>L420*E420</f>
        <v/>
      </c>
      <c r="N420" s="20" t="n">
        <v>50</v>
      </c>
      <c r="O420" s="20" t="n"/>
      <c r="P420" s="20">
        <f>O420-N420</f>
        <v/>
      </c>
      <c r="Q420" s="20">
        <f>P420*E420</f>
        <v/>
      </c>
      <c r="R420" s="20" t="n"/>
    </row>
    <row r="421" ht="20" customHeight="1" s="1">
      <c r="A421" s="16" t="inlineStr">
        <is>
          <t>11364</t>
        </is>
      </c>
      <c r="B421" s="17" t="inlineStr">
        <is>
          <t>3DELUXE</t>
        </is>
      </c>
      <c r="C421" s="16" t="inlineStr">
        <is>
          <t>8022033015501</t>
        </is>
      </c>
      <c r="D421" s="17" t="inlineStr">
        <is>
          <t>3Deluxe Professional 100ml 4.5</t>
        </is>
      </c>
      <c r="E421" s="18" t="n">
        <v>5.5</v>
      </c>
      <c r="F421" s="18" t="n">
        <v>72</v>
      </c>
      <c r="G421" s="18" t="n">
        <v>57</v>
      </c>
      <c r="H421" s="18" t="n"/>
      <c r="I421" s="18" t="n">
        <v>57</v>
      </c>
      <c r="J421" s="18" t="n"/>
      <c r="K421" s="19">
        <f>H421+I421+J421</f>
        <v/>
      </c>
      <c r="L421" s="19">
        <f>K421-G421</f>
        <v/>
      </c>
      <c r="M421" s="20">
        <f>L421*E421</f>
        <v/>
      </c>
      <c r="N421" s="20" t="n">
        <v>50</v>
      </c>
      <c r="O421" s="20" t="n"/>
      <c r="P421" s="20">
        <f>O421-N421</f>
        <v/>
      </c>
      <c r="Q421" s="20">
        <f>P421*E421</f>
        <v/>
      </c>
      <c r="R421" s="20" t="n"/>
    </row>
    <row r="422" ht="20" customHeight="1" s="1">
      <c r="A422" s="21" t="inlineStr">
        <is>
          <t>10670</t>
        </is>
      </c>
      <c r="B422" s="22" t="inlineStr">
        <is>
          <t>3DELUXE</t>
        </is>
      </c>
      <c r="C422" s="21" t="inlineStr">
        <is>
          <t>8022033015433</t>
        </is>
      </c>
      <c r="D422" s="22" t="inlineStr">
        <is>
          <t>3Deluxe Professional 100ml 4.12</t>
        </is>
      </c>
      <c r="E422" s="23" t="n">
        <v>5.5</v>
      </c>
      <c r="F422" s="23" t="n">
        <v>72</v>
      </c>
      <c r="G422" s="23" t="n">
        <v>72</v>
      </c>
      <c r="H422" s="23" t="n"/>
      <c r="I422" s="23" t="n">
        <v>72</v>
      </c>
      <c r="J422" s="23" t="n"/>
      <c r="K422" s="19">
        <f>H422+I422+J422</f>
        <v/>
      </c>
      <c r="L422" s="19">
        <f>K422-G422</f>
        <v/>
      </c>
      <c r="M422" s="20">
        <f>L422*E422</f>
        <v/>
      </c>
      <c r="N422" s="20" t="n">
        <v>50</v>
      </c>
      <c r="O422" s="20" t="n"/>
      <c r="P422" s="20">
        <f>O422-N422</f>
        <v/>
      </c>
      <c r="Q422" s="20">
        <f>P422*E422</f>
        <v/>
      </c>
      <c r="R422" s="20" t="n"/>
    </row>
    <row r="423" ht="20" customHeight="1" s="1">
      <c r="A423" s="16" t="inlineStr">
        <is>
          <t>10858</t>
        </is>
      </c>
      <c r="B423" s="17" t="inlineStr">
        <is>
          <t>3DELUXE</t>
        </is>
      </c>
      <c r="C423" s="16" t="inlineStr">
        <is>
          <t>8022033015532</t>
        </is>
      </c>
      <c r="D423" s="17" t="inlineStr">
        <is>
          <t>3Deluxe Professional 100ml 4.20</t>
        </is>
      </c>
      <c r="E423" s="18" t="n">
        <v>5.5</v>
      </c>
      <c r="F423" s="18" t="n">
        <v>72</v>
      </c>
      <c r="G423" s="18" t="n">
        <v>44</v>
      </c>
      <c r="H423" s="18" t="n"/>
      <c r="I423" s="18" t="n">
        <v>44</v>
      </c>
      <c r="J423" s="18" t="n"/>
      <c r="K423" s="19">
        <f>H423+I423+J423</f>
        <v/>
      </c>
      <c r="L423" s="19">
        <f>K423-G423</f>
        <v/>
      </c>
      <c r="M423" s="20">
        <f>L423*E423</f>
        <v/>
      </c>
      <c r="N423" s="20" t="n">
        <v>50</v>
      </c>
      <c r="O423" s="20" t="n"/>
      <c r="P423" s="20">
        <f>O423-N423</f>
        <v/>
      </c>
      <c r="Q423" s="20">
        <f>P423*E423</f>
        <v/>
      </c>
      <c r="R423" s="20" t="n"/>
    </row>
    <row r="424" ht="20" customHeight="1" s="1">
      <c r="A424" s="21" t="inlineStr">
        <is>
          <t>10940</t>
        </is>
      </c>
      <c r="B424" s="22" t="inlineStr">
        <is>
          <t>3DELUXE</t>
        </is>
      </c>
      <c r="C424" s="21" t="inlineStr">
        <is>
          <t>8022033015303</t>
        </is>
      </c>
      <c r="D424" s="22" t="inlineStr">
        <is>
          <t>3Deluxe Professional 100ml 4.35</t>
        </is>
      </c>
      <c r="E424" s="23" t="n">
        <v>5.5</v>
      </c>
      <c r="F424" s="23" t="n">
        <v>72</v>
      </c>
      <c r="G424" s="23" t="n">
        <v>87</v>
      </c>
      <c r="H424" s="23" t="n"/>
      <c r="I424" s="23" t="n">
        <v>87</v>
      </c>
      <c r="J424" s="23" t="n"/>
      <c r="K424" s="19">
        <f>H424+I424+J424</f>
        <v/>
      </c>
      <c r="L424" s="19">
        <f>K424-G424</f>
        <v/>
      </c>
      <c r="M424" s="20">
        <f>L424*E424</f>
        <v/>
      </c>
      <c r="N424" s="20" t="n">
        <v>50</v>
      </c>
      <c r="O424" s="20" t="n"/>
      <c r="P424" s="20">
        <f>O424-N424</f>
        <v/>
      </c>
      <c r="Q424" s="20">
        <f>P424*E424</f>
        <v/>
      </c>
      <c r="R424" s="20" t="n"/>
    </row>
    <row r="425" ht="20" customHeight="1" s="1">
      <c r="A425" s="16" t="inlineStr">
        <is>
          <t>10904</t>
        </is>
      </c>
      <c r="B425" s="17" t="inlineStr">
        <is>
          <t>3DELUXE</t>
        </is>
      </c>
      <c r="C425" s="16" t="inlineStr">
        <is>
          <t>8022033015334</t>
        </is>
      </c>
      <c r="D425" s="17" t="inlineStr">
        <is>
          <t>3Deluxe Professional 100ml 4.52</t>
        </is>
      </c>
      <c r="E425" s="18" t="n">
        <v>5.5</v>
      </c>
      <c r="F425" s="18" t="n">
        <v>72</v>
      </c>
      <c r="G425" s="18" t="n">
        <v>99</v>
      </c>
      <c r="H425" s="18" t="n"/>
      <c r="I425" s="18" t="n">
        <v>99</v>
      </c>
      <c r="J425" s="18" t="n"/>
      <c r="K425" s="19">
        <f>H425+I425+J425</f>
        <v/>
      </c>
      <c r="L425" s="19">
        <f>K425-G425</f>
        <v/>
      </c>
      <c r="M425" s="20">
        <f>L425*E425</f>
        <v/>
      </c>
      <c r="N425" s="20" t="n">
        <v>50</v>
      </c>
      <c r="O425" s="20" t="n"/>
      <c r="P425" s="20">
        <f>O425-N425</f>
        <v/>
      </c>
      <c r="Q425" s="20">
        <f>P425*E425</f>
        <v/>
      </c>
      <c r="R425" s="20" t="n"/>
    </row>
    <row r="426" ht="20" customHeight="1" s="1">
      <c r="A426" s="21" t="inlineStr">
        <is>
          <t>10694</t>
        </is>
      </c>
      <c r="B426" s="22" t="inlineStr">
        <is>
          <t>3DELUXE</t>
        </is>
      </c>
      <c r="C426" s="21" t="inlineStr">
        <is>
          <t>8022033015365</t>
        </is>
      </c>
      <c r="D426" s="22" t="inlineStr">
        <is>
          <t>3Deluxe Professional 100ml 4.88 (4.77)</t>
        </is>
      </c>
      <c r="E426" s="23" t="n">
        <v>5.5</v>
      </c>
      <c r="F426" s="23" t="n">
        <v>72</v>
      </c>
      <c r="G426" s="23" t="n">
        <v>74</v>
      </c>
      <c r="H426" s="23" t="n"/>
      <c r="I426" s="23" t="n"/>
      <c r="J426" s="23" t="n"/>
      <c r="K426" s="19" t="n"/>
      <c r="L426" s="19" t="n"/>
      <c r="M426" s="20" t="n"/>
      <c r="N426" s="20" t="n">
        <v>50</v>
      </c>
      <c r="O426" s="20" t="n"/>
      <c r="P426" s="20">
        <f>O426-N426</f>
        <v/>
      </c>
      <c r="Q426" s="20">
        <f>P426*E426</f>
        <v/>
      </c>
      <c r="R426" s="20" t="n"/>
    </row>
    <row r="427" ht="20" customHeight="1" s="1">
      <c r="A427" s="16" t="inlineStr">
        <is>
          <t>10660</t>
        </is>
      </c>
      <c r="B427" s="17" t="inlineStr">
        <is>
          <t>3DELUXE</t>
        </is>
      </c>
      <c r="C427" s="16" t="inlineStr">
        <is>
          <t>8022033015662</t>
        </is>
      </c>
      <c r="D427" s="17" t="inlineStr">
        <is>
          <t>3Deluxe Professional 100ml 5.00</t>
        </is>
      </c>
      <c r="E427" s="18" t="n">
        <v>5.5</v>
      </c>
      <c r="F427" s="18" t="n">
        <v>72</v>
      </c>
      <c r="G427" s="18" t="n">
        <v>54</v>
      </c>
      <c r="H427" s="18" t="n"/>
      <c r="I427" s="18" t="n">
        <v>54</v>
      </c>
      <c r="J427" s="18" t="n"/>
      <c r="K427" s="19">
        <f>H427+I427+J427</f>
        <v/>
      </c>
      <c r="L427" s="19">
        <f>K427-G427</f>
        <v/>
      </c>
      <c r="M427" s="20">
        <f>L427*E427</f>
        <v/>
      </c>
      <c r="N427" s="20" t="n">
        <v>50</v>
      </c>
      <c r="O427" s="20" t="n"/>
      <c r="P427" s="20">
        <f>O427-N427</f>
        <v/>
      </c>
      <c r="Q427" s="20">
        <f>P427*E427</f>
        <v/>
      </c>
      <c r="R427" s="20" t="n"/>
    </row>
    <row r="428" ht="20" customHeight="1" s="1">
      <c r="A428" s="21" t="inlineStr">
        <is>
          <t>21988</t>
        </is>
      </c>
      <c r="B428" s="22" t="inlineStr">
        <is>
          <t>3DELUXE</t>
        </is>
      </c>
      <c r="C428" s="21" t="inlineStr">
        <is>
          <t>8022033015051</t>
        </is>
      </c>
      <c r="D428" s="22" t="inlineStr">
        <is>
          <t>3Deluxe 100ml 5.0 Light  Intense Brown</t>
        </is>
      </c>
      <c r="E428" s="23" t="n">
        <v>5.5</v>
      </c>
      <c r="F428" s="23" t="n">
        <v>72</v>
      </c>
      <c r="G428" s="23" t="n">
        <v>129</v>
      </c>
      <c r="H428" s="23" t="n"/>
      <c r="I428" s="23" t="n">
        <v>129</v>
      </c>
      <c r="J428" s="23" t="n"/>
      <c r="K428" s="19">
        <f>H428+I428+J428</f>
        <v/>
      </c>
      <c r="L428" s="19">
        <f>K428-G428</f>
        <v/>
      </c>
      <c r="M428" s="20">
        <f>L428*E428</f>
        <v/>
      </c>
      <c r="N428" s="20" t="n">
        <v>50</v>
      </c>
      <c r="O428" s="20" t="n"/>
      <c r="P428" s="20">
        <f>O428-N428</f>
        <v/>
      </c>
      <c r="Q428" s="20">
        <f>P428*E428</f>
        <v/>
      </c>
      <c r="R428" s="20" t="n"/>
    </row>
    <row r="429" ht="20" customHeight="1" s="1">
      <c r="A429" s="16" t="inlineStr">
        <is>
          <t>10267</t>
        </is>
      </c>
      <c r="B429" s="17" t="inlineStr">
        <is>
          <t>3DELUXE</t>
        </is>
      </c>
      <c r="C429" s="16" t="inlineStr">
        <is>
          <t>8022033015143</t>
        </is>
      </c>
      <c r="D429" s="17" t="inlineStr">
        <is>
          <t>3Deluxe Professional 100ml 5.1</t>
        </is>
      </c>
      <c r="E429" s="18" t="n">
        <v>5.5</v>
      </c>
      <c r="F429" s="18" t="n">
        <v>72</v>
      </c>
      <c r="G429" s="18" t="n">
        <v>70</v>
      </c>
      <c r="H429" s="18" t="n"/>
      <c r="I429" s="18" t="n">
        <v>70</v>
      </c>
      <c r="J429" s="18" t="n"/>
      <c r="K429" s="19">
        <f>H429+I429+J429</f>
        <v/>
      </c>
      <c r="L429" s="19">
        <f>K429-G429</f>
        <v/>
      </c>
      <c r="M429" s="20">
        <f>L429*E429</f>
        <v/>
      </c>
      <c r="N429" s="20" t="n">
        <v>50</v>
      </c>
      <c r="O429" s="20" t="n"/>
      <c r="P429" s="20">
        <f>O429-N429</f>
        <v/>
      </c>
      <c r="Q429" s="20">
        <f>P429*E429</f>
        <v/>
      </c>
      <c r="R429" s="20" t="n"/>
    </row>
    <row r="430" ht="20" customHeight="1" s="1">
      <c r="A430" s="21" t="inlineStr">
        <is>
          <t>10991</t>
        </is>
      </c>
      <c r="B430" s="22" t="inlineStr">
        <is>
          <t>3DELUXE</t>
        </is>
      </c>
      <c r="C430" s="21" t="inlineStr">
        <is>
          <t>8022033015426</t>
        </is>
      </c>
      <c r="D430" s="22" t="inlineStr">
        <is>
          <t>3Deluxe Professional 100ml 5.12</t>
        </is>
      </c>
      <c r="E430" s="23" t="n">
        <v>5.5</v>
      </c>
      <c r="F430" s="23" t="n">
        <v>72</v>
      </c>
      <c r="G430" s="23" t="n">
        <v>29</v>
      </c>
      <c r="H430" s="23" t="n"/>
      <c r="I430" s="23" t="n">
        <v>29</v>
      </c>
      <c r="J430" s="23" t="n"/>
      <c r="K430" s="19">
        <f>H430+I430+J430</f>
        <v/>
      </c>
      <c r="L430" s="19">
        <f>K430-G430</f>
        <v/>
      </c>
      <c r="M430" s="20">
        <f>L430*E430</f>
        <v/>
      </c>
      <c r="N430" s="20" t="n">
        <v>50</v>
      </c>
      <c r="O430" s="20" t="n"/>
      <c r="P430" s="20">
        <f>O430-N430</f>
        <v/>
      </c>
      <c r="Q430" s="20">
        <f>P430*E430</f>
        <v/>
      </c>
      <c r="R430" s="20" t="n"/>
    </row>
    <row r="431" ht="20" customHeight="1" s="1">
      <c r="A431" s="16" t="inlineStr">
        <is>
          <t>10754</t>
        </is>
      </c>
      <c r="B431" s="17" t="inlineStr">
        <is>
          <t>3DELUXE</t>
        </is>
      </c>
      <c r="C431" s="16" t="inlineStr">
        <is>
          <t>8022033015525</t>
        </is>
      </c>
      <c r="D431" s="17" t="inlineStr">
        <is>
          <t>3Deluxe Professional 100ml 5.20</t>
        </is>
      </c>
      <c r="E431" s="18" t="n">
        <v>5.5</v>
      </c>
      <c r="F431" s="18" t="n">
        <v>72</v>
      </c>
      <c r="G431" s="18" t="n">
        <v>34</v>
      </c>
      <c r="H431" s="18" t="n"/>
      <c r="I431" s="18" t="n">
        <v>34</v>
      </c>
      <c r="J431" s="18" t="n"/>
      <c r="K431" s="19">
        <f>H431+I431+J431</f>
        <v/>
      </c>
      <c r="L431" s="19">
        <f>K431-G431</f>
        <v/>
      </c>
      <c r="M431" s="20">
        <f>L431*E431</f>
        <v/>
      </c>
      <c r="N431" s="20" t="n">
        <v>50</v>
      </c>
      <c r="O431" s="20" t="n"/>
      <c r="P431" s="20">
        <f>O431-N431</f>
        <v/>
      </c>
      <c r="Q431" s="20">
        <f>P431*E431</f>
        <v/>
      </c>
      <c r="R431" s="20" t="n"/>
    </row>
    <row r="432" ht="20" customHeight="1" s="1">
      <c r="A432" s="21" t="inlineStr">
        <is>
          <t>10347</t>
        </is>
      </c>
      <c r="B432" s="22" t="inlineStr">
        <is>
          <t>3DELUXE</t>
        </is>
      </c>
      <c r="C432" s="21" t="inlineStr">
        <is>
          <t>8022033015211</t>
        </is>
      </c>
      <c r="D432" s="22" t="inlineStr">
        <is>
          <t>3Deluxe Professional 100ml 5.3</t>
        </is>
      </c>
      <c r="E432" s="23" t="n">
        <v>5.5</v>
      </c>
      <c r="F432" s="23" t="n">
        <v>72</v>
      </c>
      <c r="G432" s="23" t="n">
        <v>83</v>
      </c>
      <c r="H432" s="23" t="n"/>
      <c r="I432" s="23" t="n">
        <v>83</v>
      </c>
      <c r="J432" s="23" t="n"/>
      <c r="K432" s="19">
        <f>H432+I432+J432</f>
        <v/>
      </c>
      <c r="L432" s="19">
        <f>K432-G432</f>
        <v/>
      </c>
      <c r="M432" s="20">
        <f>L432*E432</f>
        <v/>
      </c>
      <c r="N432" s="20" t="n">
        <v>50</v>
      </c>
      <c r="O432" s="20" t="n"/>
      <c r="P432" s="20">
        <f>O432-N432</f>
        <v/>
      </c>
      <c r="Q432" s="20">
        <f>P432*E432</f>
        <v/>
      </c>
      <c r="R432" s="20" t="n"/>
    </row>
    <row r="433" ht="20" customHeight="1" s="1">
      <c r="A433" s="16" t="inlineStr">
        <is>
          <t>10715</t>
        </is>
      </c>
      <c r="B433" s="17" t="inlineStr">
        <is>
          <t>3DELUXE</t>
        </is>
      </c>
      <c r="C433" s="16" t="inlineStr">
        <is>
          <t>8022033015259</t>
        </is>
      </c>
      <c r="D433" s="17" t="inlineStr">
        <is>
          <t>3Deluxe Professional 100ml 5.31</t>
        </is>
      </c>
      <c r="E433" s="18" t="n">
        <v>5.5</v>
      </c>
      <c r="F433" s="18" t="n">
        <v>72</v>
      </c>
      <c r="G433" s="18" t="n">
        <v>96</v>
      </c>
      <c r="H433" s="18" t="n"/>
      <c r="I433" s="18" t="n"/>
      <c r="J433" s="18" t="n"/>
      <c r="K433" s="19" t="n"/>
      <c r="L433" s="19" t="n"/>
      <c r="M433" s="20" t="n"/>
      <c r="N433" s="20" t="n">
        <v>50</v>
      </c>
      <c r="O433" s="20" t="n"/>
      <c r="P433" s="20">
        <f>O433-N433</f>
        <v/>
      </c>
      <c r="Q433" s="20">
        <f>P433*E433</f>
        <v/>
      </c>
      <c r="R433" s="20" t="n"/>
    </row>
    <row r="434" ht="20" customHeight="1" s="1">
      <c r="A434" s="21" t="inlineStr">
        <is>
          <t>22021</t>
        </is>
      </c>
      <c r="B434" s="22" t="inlineStr">
        <is>
          <t>3DELUXE</t>
        </is>
      </c>
      <c r="C434" s="21" t="inlineStr">
        <is>
          <t>8022033015297</t>
        </is>
      </c>
      <c r="D434" s="22" t="inlineStr">
        <is>
          <t>3Deluxe 100ml 5.35 Light Chocolate Brown</t>
        </is>
      </c>
      <c r="E434" s="23" t="n">
        <v>5.5</v>
      </c>
      <c r="F434" s="23" t="n">
        <v>72</v>
      </c>
      <c r="G434" s="23" t="n">
        <v>59</v>
      </c>
      <c r="H434" s="23" t="n"/>
      <c r="I434" s="23" t="n">
        <v>59</v>
      </c>
      <c r="J434" s="23" t="n"/>
      <c r="K434" s="19">
        <f>H434+I434+J434</f>
        <v/>
      </c>
      <c r="L434" s="19">
        <f>K434-G434</f>
        <v/>
      </c>
      <c r="M434" s="20">
        <f>L434*E434</f>
        <v/>
      </c>
      <c r="N434" s="20" t="n">
        <v>50</v>
      </c>
      <c r="O434" s="20" t="n"/>
      <c r="P434" s="20">
        <f>O434-N434</f>
        <v/>
      </c>
      <c r="Q434" s="20">
        <f>P434*E434</f>
        <v/>
      </c>
      <c r="R434" s="20" t="n"/>
    </row>
    <row r="435" ht="20" customHeight="1" s="1">
      <c r="A435" s="16" t="inlineStr">
        <is>
          <t>10969</t>
        </is>
      </c>
      <c r="B435" s="17" t="inlineStr">
        <is>
          <t>3DELUXE</t>
        </is>
      </c>
      <c r="C435" s="16" t="inlineStr">
        <is>
          <t>8022033015570</t>
        </is>
      </c>
      <c r="D435" s="17" t="inlineStr">
        <is>
          <t>3Deluxe Professional 100ml 5.4</t>
        </is>
      </c>
      <c r="E435" s="18" t="n">
        <v>5.5</v>
      </c>
      <c r="F435" s="18" t="n">
        <v>72</v>
      </c>
      <c r="G435" s="18" t="n">
        <v>70</v>
      </c>
      <c r="H435" s="18" t="n"/>
      <c r="I435" s="18" t="n">
        <v>70</v>
      </c>
      <c r="J435" s="18" t="n"/>
      <c r="K435" s="19">
        <f>H435+I435+J435</f>
        <v/>
      </c>
      <c r="L435" s="19">
        <f>K435-G435</f>
        <v/>
      </c>
      <c r="M435" s="20">
        <f>L435*E435</f>
        <v/>
      </c>
      <c r="N435" s="20" t="n">
        <v>50</v>
      </c>
      <c r="O435" s="20" t="n"/>
      <c r="P435" s="20">
        <f>O435-N435</f>
        <v/>
      </c>
      <c r="Q435" s="20">
        <f>P435*E435</f>
        <v/>
      </c>
      <c r="R435" s="20" t="n"/>
    </row>
    <row r="436" ht="20" customHeight="1" s="1">
      <c r="A436" s="21" t="inlineStr">
        <is>
          <t>10800</t>
        </is>
      </c>
      <c r="B436" s="22" t="inlineStr">
        <is>
          <t>3DELUXE</t>
        </is>
      </c>
      <c r="C436" s="21" t="inlineStr">
        <is>
          <t>8022033015495</t>
        </is>
      </c>
      <c r="D436" s="22" t="inlineStr">
        <is>
          <t>3Deluxe Professional 100ml 5.5</t>
        </is>
      </c>
      <c r="E436" s="23" t="n">
        <v>5.5</v>
      </c>
      <c r="F436" s="23" t="n">
        <v>72</v>
      </c>
      <c r="G436" s="23" t="n">
        <v>43</v>
      </c>
      <c r="H436" s="23" t="n"/>
      <c r="I436" s="23" t="n">
        <v>43</v>
      </c>
      <c r="J436" s="23" t="n"/>
      <c r="K436" s="19">
        <f>H436+I436+J436</f>
        <v/>
      </c>
      <c r="L436" s="19">
        <f>K436-G436</f>
        <v/>
      </c>
      <c r="M436" s="20">
        <f>L436*E436</f>
        <v/>
      </c>
      <c r="N436" s="20" t="n">
        <v>50</v>
      </c>
      <c r="O436" s="20" t="n"/>
      <c r="P436" s="20">
        <f>O436-N436</f>
        <v/>
      </c>
      <c r="Q436" s="20">
        <f>P436*E436</f>
        <v/>
      </c>
      <c r="R436" s="20" t="n"/>
    </row>
    <row r="437" ht="20" customHeight="1" s="1">
      <c r="A437" s="16" t="inlineStr">
        <is>
          <t>11217</t>
        </is>
      </c>
      <c r="B437" s="17" t="inlineStr">
        <is>
          <t>3DELUXE</t>
        </is>
      </c>
      <c r="C437" s="16" t="inlineStr">
        <is>
          <t>8022033015327</t>
        </is>
      </c>
      <c r="D437" s="17" t="inlineStr">
        <is>
          <t>3Deluxe Professional 100ml 5.52</t>
        </is>
      </c>
      <c r="E437" s="18" t="n">
        <v>5.5</v>
      </c>
      <c r="F437" s="18" t="n">
        <v>72</v>
      </c>
      <c r="G437" s="18" t="n">
        <v>73</v>
      </c>
      <c r="H437" s="18" t="n"/>
      <c r="I437" s="18" t="n">
        <v>73</v>
      </c>
      <c r="J437" s="18" t="n"/>
      <c r="K437" s="19">
        <f>H437+I437+J437</f>
        <v/>
      </c>
      <c r="L437" s="19">
        <f>K437-G437</f>
        <v/>
      </c>
      <c r="M437" s="20">
        <f>L437*E437</f>
        <v/>
      </c>
      <c r="N437" s="20" t="n">
        <v>50</v>
      </c>
      <c r="O437" s="20" t="n"/>
      <c r="P437" s="20">
        <f>O437-N437</f>
        <v/>
      </c>
      <c r="Q437" s="20">
        <f>P437*E437</f>
        <v/>
      </c>
      <c r="R437" s="20" t="n"/>
    </row>
    <row r="438" ht="20" customHeight="1" s="1">
      <c r="A438" s="21" t="inlineStr">
        <is>
          <t>10970</t>
        </is>
      </c>
      <c r="B438" s="22" t="inlineStr">
        <is>
          <t>3DELUXE</t>
        </is>
      </c>
      <c r="C438" s="21" t="inlineStr">
        <is>
          <t>8022033015488</t>
        </is>
      </c>
      <c r="D438" s="22" t="inlineStr">
        <is>
          <t>3Deluxe Professional 100ml 5.62</t>
        </is>
      </c>
      <c r="E438" s="23" t="n">
        <v>5.5</v>
      </c>
      <c r="F438" s="23" t="n">
        <v>72</v>
      </c>
      <c r="G438" s="23" t="n">
        <v>66</v>
      </c>
      <c r="H438" s="23" t="n"/>
      <c r="I438" s="23" t="n">
        <v>66</v>
      </c>
      <c r="J438" s="23" t="n"/>
      <c r="K438" s="19">
        <f>H438+I438+J438</f>
        <v/>
      </c>
      <c r="L438" s="19">
        <f>K438-G438</f>
        <v/>
      </c>
      <c r="M438" s="20">
        <f>L438*E438</f>
        <v/>
      </c>
      <c r="N438" s="20" t="n">
        <v>50</v>
      </c>
      <c r="O438" s="20" t="n"/>
      <c r="P438" s="20">
        <f>O438-N438</f>
        <v/>
      </c>
      <c r="Q438" s="20">
        <f>P438*E438</f>
        <v/>
      </c>
      <c r="R438" s="20" t="n"/>
    </row>
    <row r="439" ht="20" customHeight="1" s="1">
      <c r="A439" s="16" t="inlineStr">
        <is>
          <t>11342</t>
        </is>
      </c>
      <c r="B439" s="17" t="inlineStr">
        <is>
          <t>3DELUXE</t>
        </is>
      </c>
      <c r="C439" s="16" t="inlineStr">
        <is>
          <t>8022033014931</t>
        </is>
      </c>
      <c r="D439" s="17" t="inlineStr">
        <is>
          <t>3Deluxe Professional 100ml 5.64</t>
        </is>
      </c>
      <c r="E439" s="18" t="n">
        <v>5.5</v>
      </c>
      <c r="F439" s="18" t="n">
        <v>72</v>
      </c>
      <c r="G439" s="18" t="n">
        <v>66</v>
      </c>
      <c r="H439" s="18" t="n"/>
      <c r="I439" s="18" t="n">
        <v>66</v>
      </c>
      <c r="J439" s="18" t="n"/>
      <c r="K439" s="19">
        <f>H439+I439+J439</f>
        <v/>
      </c>
      <c r="L439" s="19">
        <f>K439-G439</f>
        <v/>
      </c>
      <c r="M439" s="20">
        <f>L439*E439</f>
        <v/>
      </c>
      <c r="N439" s="20" t="n">
        <v>50</v>
      </c>
      <c r="O439" s="20" t="n"/>
      <c r="P439" s="20">
        <f>O439-N439</f>
        <v/>
      </c>
      <c r="Q439" s="20">
        <f>P439*E439</f>
        <v/>
      </c>
      <c r="R439" s="20" t="n"/>
    </row>
    <row r="440" ht="20" customHeight="1" s="1">
      <c r="A440" s="21" t="inlineStr">
        <is>
          <t>11218</t>
        </is>
      </c>
      <c r="B440" s="22" t="inlineStr">
        <is>
          <t>3DELUXE</t>
        </is>
      </c>
      <c r="C440" s="21" t="inlineStr">
        <is>
          <t>8022033015778</t>
        </is>
      </c>
      <c r="D440" s="22" t="inlineStr">
        <is>
          <t>3Deluxe Professional 100ml 5.8 (5.7)</t>
        </is>
      </c>
      <c r="E440" s="23" t="n">
        <v>5.5</v>
      </c>
      <c r="F440" s="23" t="n">
        <v>72</v>
      </c>
      <c r="G440" s="23" t="n">
        <v>33</v>
      </c>
      <c r="H440" s="23" t="n"/>
      <c r="I440" s="23" t="n">
        <v>33</v>
      </c>
      <c r="J440" s="23" t="n"/>
      <c r="K440" s="19">
        <f>H440+I440+J440</f>
        <v/>
      </c>
      <c r="L440" s="19">
        <f>K440-G440</f>
        <v/>
      </c>
      <c r="M440" s="20">
        <f>L440*E440</f>
        <v/>
      </c>
      <c r="N440" s="20" t="n">
        <v>50</v>
      </c>
      <c r="O440" s="20" t="n"/>
      <c r="P440" s="20">
        <f>O440-N440</f>
        <v/>
      </c>
      <c r="Q440" s="20">
        <f>P440*E440</f>
        <v/>
      </c>
      <c r="R440" s="20" t="n"/>
    </row>
    <row r="441" ht="20" customHeight="1" s="1">
      <c r="A441" s="16" t="inlineStr">
        <is>
          <t>10905</t>
        </is>
      </c>
      <c r="B441" s="17" t="inlineStr">
        <is>
          <t>3DELUXE</t>
        </is>
      </c>
      <c r="C441" s="16" t="inlineStr">
        <is>
          <t>8022033015358</t>
        </is>
      </c>
      <c r="D441" s="17" t="inlineStr">
        <is>
          <t>3Deluxe Professional 100ml 5.88 (5.77)</t>
        </is>
      </c>
      <c r="E441" s="18" t="n">
        <v>5.5</v>
      </c>
      <c r="F441" s="18" t="n">
        <v>72</v>
      </c>
      <c r="G441" s="18" t="n">
        <v>48</v>
      </c>
      <c r="H441" s="18" t="n"/>
      <c r="I441" s="18" t="n">
        <v>48</v>
      </c>
      <c r="J441" s="18" t="n"/>
      <c r="K441" s="19">
        <f>H441+I441+J441</f>
        <v/>
      </c>
      <c r="L441" s="19">
        <f>K441-G441</f>
        <v/>
      </c>
      <c r="M441" s="20">
        <f>L441*E441</f>
        <v/>
      </c>
      <c r="N441" s="20" t="n">
        <v>50</v>
      </c>
      <c r="O441" s="20" t="n"/>
      <c r="P441" s="20">
        <f>O441-N441</f>
        <v/>
      </c>
      <c r="Q441" s="20">
        <f>P441*E441</f>
        <v/>
      </c>
      <c r="R441" s="20" t="n"/>
    </row>
    <row r="442" ht="20" customHeight="1" s="1">
      <c r="A442" s="21" t="inlineStr">
        <is>
          <t>10383</t>
        </is>
      </c>
      <c r="B442" s="22" t="inlineStr">
        <is>
          <t>3DELUXE</t>
        </is>
      </c>
      <c r="C442" s="21" t="inlineStr">
        <is>
          <t>8022033015679</t>
        </is>
      </c>
      <c r="D442" s="22" t="inlineStr">
        <is>
          <t>3Deluxe Professional 100ml 6.00</t>
        </is>
      </c>
      <c r="E442" s="23" t="n">
        <v>5.5</v>
      </c>
      <c r="F442" s="23" t="n">
        <v>72</v>
      </c>
      <c r="G442" s="23" t="n">
        <v>36</v>
      </c>
      <c r="H442" s="23" t="n"/>
      <c r="I442" s="23" t="n">
        <v>36</v>
      </c>
      <c r="J442" s="23" t="n"/>
      <c r="K442" s="19">
        <f>H442+I442+J442</f>
        <v/>
      </c>
      <c r="L442" s="19">
        <f>K442-G442</f>
        <v/>
      </c>
      <c r="M442" s="20">
        <f>L442*E442</f>
        <v/>
      </c>
      <c r="N442" s="20" t="n">
        <v>50</v>
      </c>
      <c r="O442" s="20" t="n"/>
      <c r="P442" s="20">
        <f>O442-N442</f>
        <v/>
      </c>
      <c r="Q442" s="20">
        <f>P442*E442</f>
        <v/>
      </c>
      <c r="R442" s="20" t="n"/>
    </row>
    <row r="443" ht="20" customHeight="1" s="1">
      <c r="A443" s="16" t="inlineStr">
        <is>
          <t>10207</t>
        </is>
      </c>
      <c r="B443" s="17" t="inlineStr">
        <is>
          <t>3DELUXE</t>
        </is>
      </c>
      <c r="C443" s="16" t="inlineStr">
        <is>
          <t>8022033015044</t>
        </is>
      </c>
      <c r="D443" s="17" t="inlineStr">
        <is>
          <t>3Deluxe Professional 100ml 6.0</t>
        </is>
      </c>
      <c r="E443" s="18" t="n">
        <v>5.5</v>
      </c>
      <c r="F443" s="18" t="n">
        <v>72</v>
      </c>
      <c r="G443" s="18" t="n">
        <v>73</v>
      </c>
      <c r="H443" s="18" t="n"/>
      <c r="I443" s="18" t="n">
        <v>73</v>
      </c>
      <c r="J443" s="18" t="n"/>
      <c r="K443" s="19">
        <f>H443+I443+J443</f>
        <v/>
      </c>
      <c r="L443" s="19">
        <f>K443-G443</f>
        <v/>
      </c>
      <c r="M443" s="20">
        <f>L443*E443</f>
        <v/>
      </c>
      <c r="N443" s="20" t="n">
        <v>50</v>
      </c>
      <c r="O443" s="20" t="n"/>
      <c r="P443" s="20">
        <f>O443-N443</f>
        <v/>
      </c>
      <c r="Q443" s="20">
        <f>P443*E443</f>
        <v/>
      </c>
      <c r="R443" s="20" t="n"/>
    </row>
    <row r="444" ht="20" customHeight="1" s="1">
      <c r="A444" s="21" t="inlineStr">
        <is>
          <t>10153</t>
        </is>
      </c>
      <c r="B444" s="22" t="inlineStr">
        <is>
          <t>3DELUXE</t>
        </is>
      </c>
      <c r="C444" s="21" t="inlineStr">
        <is>
          <t>8022033015136</t>
        </is>
      </c>
      <c r="D444" s="22" t="inlineStr">
        <is>
          <t>3Deluxe Professional 100ml 6.1</t>
        </is>
      </c>
      <c r="E444" s="23" t="n">
        <v>5.5</v>
      </c>
      <c r="F444" s="23" t="n">
        <v>72</v>
      </c>
      <c r="G444" s="23" t="n">
        <v>154</v>
      </c>
      <c r="H444" s="23" t="n"/>
      <c r="I444" s="23" t="n">
        <v>154</v>
      </c>
      <c r="J444" s="23" t="n"/>
      <c r="K444" s="19">
        <f>H444+I444+J444</f>
        <v/>
      </c>
      <c r="L444" s="19">
        <f>K444-G444</f>
        <v/>
      </c>
      <c r="M444" s="20">
        <f>L444*E444</f>
        <v/>
      </c>
      <c r="N444" s="20" t="n">
        <v>50</v>
      </c>
      <c r="O444" s="20" t="n"/>
      <c r="P444" s="20">
        <f>O444-N444</f>
        <v/>
      </c>
      <c r="Q444" s="20">
        <f>P444*E444</f>
        <v/>
      </c>
      <c r="R444" s="20" t="n"/>
    </row>
    <row r="445" ht="20" customHeight="1" s="1">
      <c r="A445" s="16" t="inlineStr">
        <is>
          <t>17440</t>
        </is>
      </c>
      <c r="B445" s="17" t="inlineStr">
        <is>
          <t>3DELUXE</t>
        </is>
      </c>
      <c r="C445" s="16" t="inlineStr">
        <is>
          <t>8022033102409</t>
        </is>
      </c>
      <c r="D445" s="17" t="inlineStr">
        <is>
          <t>3Deluxe Professional 100ml 6.11</t>
        </is>
      </c>
      <c r="E445" s="18" t="n">
        <v>5.5</v>
      </c>
      <c r="F445" s="18" t="n">
        <v>72</v>
      </c>
      <c r="G445" s="18" t="n">
        <v>111</v>
      </c>
      <c r="H445" s="18" t="n"/>
      <c r="I445" s="18" t="n">
        <v>111</v>
      </c>
      <c r="J445" s="18" t="n"/>
      <c r="K445" s="19">
        <f>H445+I445+J445</f>
        <v/>
      </c>
      <c r="L445" s="19">
        <f>K445-G445</f>
        <v/>
      </c>
      <c r="M445" s="20">
        <f>L445*E445</f>
        <v/>
      </c>
      <c r="N445" s="20" t="n">
        <v>50</v>
      </c>
      <c r="O445" s="20" t="n"/>
      <c r="P445" s="20">
        <f>O445-N445</f>
        <v/>
      </c>
      <c r="Q445" s="20">
        <f>P445*E445</f>
        <v/>
      </c>
      <c r="R445" s="20" t="n"/>
    </row>
    <row r="446" ht="20" customHeight="1" s="1">
      <c r="A446" s="21" t="inlineStr">
        <is>
          <t>11694</t>
        </is>
      </c>
      <c r="B446" s="22" t="inlineStr">
        <is>
          <t>3DELUXE</t>
        </is>
      </c>
      <c r="C446" s="21" t="inlineStr">
        <is>
          <t>8022033102317</t>
        </is>
      </c>
      <c r="D446" s="22" t="inlineStr">
        <is>
          <t>3Deluxe Professional 100ml 6.12</t>
        </is>
      </c>
      <c r="E446" s="23" t="n">
        <v>5.5</v>
      </c>
      <c r="F446" s="23" t="n">
        <v>72</v>
      </c>
      <c r="G446" s="23" t="n">
        <v>61</v>
      </c>
      <c r="H446" s="23" t="n"/>
      <c r="I446" s="23" t="n"/>
      <c r="J446" s="23" t="n"/>
      <c r="K446" s="19" t="n"/>
      <c r="L446" s="19" t="n"/>
      <c r="M446" s="20" t="n"/>
      <c r="N446" s="20" t="n">
        <v>50</v>
      </c>
      <c r="O446" s="20" t="n"/>
      <c r="P446" s="20">
        <f>O446-N446</f>
        <v/>
      </c>
      <c r="Q446" s="20">
        <f>P446*E446</f>
        <v/>
      </c>
      <c r="R446" s="20" t="n"/>
    </row>
    <row r="447" ht="20" customHeight="1" s="1">
      <c r="A447" s="16" t="inlineStr">
        <is>
          <t>10623</t>
        </is>
      </c>
      <c r="B447" s="17" t="inlineStr">
        <is>
          <t>3DELUXE</t>
        </is>
      </c>
      <c r="C447" s="16" t="inlineStr">
        <is>
          <t>8022033015419</t>
        </is>
      </c>
      <c r="D447" s="17" t="inlineStr">
        <is>
          <t>3Deluxe Professional 100ml 6.13</t>
        </is>
      </c>
      <c r="E447" s="18" t="n">
        <v>5.5</v>
      </c>
      <c r="F447" s="18" t="n">
        <v>72</v>
      </c>
      <c r="G447" s="18" t="n">
        <v>31</v>
      </c>
      <c r="H447" s="18" t="n"/>
      <c r="I447" s="18" t="n">
        <v>31</v>
      </c>
      <c r="J447" s="18" t="n"/>
      <c r="K447" s="19">
        <f>H447+I447+J447</f>
        <v/>
      </c>
      <c r="L447" s="19">
        <f>K447-G447</f>
        <v/>
      </c>
      <c r="M447" s="20">
        <f>L447*E447</f>
        <v/>
      </c>
      <c r="N447" s="20" t="n">
        <v>50</v>
      </c>
      <c r="O447" s="20" t="n"/>
      <c r="P447" s="20">
        <f>O447-N447</f>
        <v/>
      </c>
      <c r="Q447" s="20">
        <f>P447*E447</f>
        <v/>
      </c>
      <c r="R447" s="20" t="n"/>
    </row>
    <row r="448" ht="20" customHeight="1" s="1">
      <c r="A448" s="21" t="inlineStr">
        <is>
          <t>10566</t>
        </is>
      </c>
      <c r="B448" s="22" t="inlineStr">
        <is>
          <t>3DELUXE</t>
        </is>
      </c>
      <c r="C448" s="21" t="inlineStr">
        <is>
          <t>8022033015204</t>
        </is>
      </c>
      <c r="D448" s="22" t="inlineStr">
        <is>
          <t>3Deluxe Professional 100ml 6.3</t>
        </is>
      </c>
      <c r="E448" s="23" t="n">
        <v>5.5</v>
      </c>
      <c r="F448" s="23" t="n">
        <v>72</v>
      </c>
      <c r="G448" s="23" t="n">
        <v>66</v>
      </c>
      <c r="H448" s="23" t="n"/>
      <c r="I448" s="23" t="n">
        <v>66</v>
      </c>
      <c r="J448" s="23" t="n"/>
      <c r="K448" s="19">
        <f>H448+I448+J448</f>
        <v/>
      </c>
      <c r="L448" s="19">
        <f>K448-G448</f>
        <v/>
      </c>
      <c r="M448" s="20">
        <f>L448*E448</f>
        <v/>
      </c>
      <c r="N448" s="20" t="n">
        <v>50</v>
      </c>
      <c r="O448" s="20" t="n"/>
      <c r="P448" s="20">
        <f>O448-N448</f>
        <v/>
      </c>
      <c r="Q448" s="20">
        <f>P448*E448</f>
        <v/>
      </c>
      <c r="R448" s="20" t="n"/>
    </row>
    <row r="449" ht="20" customHeight="1" s="1">
      <c r="A449" s="16" t="inlineStr">
        <is>
          <t>10981</t>
        </is>
      </c>
      <c r="B449" s="17" t="inlineStr">
        <is>
          <t>3DELUXE</t>
        </is>
      </c>
      <c r="C449" s="16" t="inlineStr">
        <is>
          <t>8022033015242</t>
        </is>
      </c>
      <c r="D449" s="17" t="inlineStr">
        <is>
          <t>3Deluxe Professional 100ml 6.31</t>
        </is>
      </c>
      <c r="E449" s="18" t="n">
        <v>5.5</v>
      </c>
      <c r="F449" s="18" t="n">
        <v>72</v>
      </c>
      <c r="G449" s="18" t="n">
        <v>48</v>
      </c>
      <c r="H449" s="18" t="n"/>
      <c r="I449" s="18" t="n">
        <v>48</v>
      </c>
      <c r="J449" s="18" t="n"/>
      <c r="K449" s="19">
        <f>H449+I449+J449</f>
        <v/>
      </c>
      <c r="L449" s="19">
        <f>K449-G449</f>
        <v/>
      </c>
      <c r="M449" s="20">
        <f>L449*E449</f>
        <v/>
      </c>
      <c r="N449" s="20" t="n">
        <v>50</v>
      </c>
      <c r="O449" s="20" t="n"/>
      <c r="P449" s="20">
        <f>O449-N449</f>
        <v/>
      </c>
      <c r="Q449" s="20">
        <f>P449*E449</f>
        <v/>
      </c>
      <c r="R449" s="20" t="n"/>
    </row>
    <row r="450" ht="20" customHeight="1" s="1">
      <c r="A450" s="21" t="inlineStr">
        <is>
          <t>10469</t>
        </is>
      </c>
      <c r="B450" s="22" t="inlineStr">
        <is>
          <t>3DELUXE</t>
        </is>
      </c>
      <c r="C450" s="21" t="inlineStr">
        <is>
          <t>8022033015273</t>
        </is>
      </c>
      <c r="D450" s="22" t="inlineStr">
        <is>
          <t>3Deluxe Professional 100ml 6.32</t>
        </is>
      </c>
      <c r="E450" s="23" t="n">
        <v>5.5</v>
      </c>
      <c r="F450" s="23" t="n">
        <v>72</v>
      </c>
      <c r="G450" s="23" t="n">
        <v>49</v>
      </c>
      <c r="H450" s="23" t="n"/>
      <c r="I450" s="23" t="n">
        <v>49</v>
      </c>
      <c r="J450" s="23" t="n"/>
      <c r="K450" s="19">
        <f>H450+I450+J450</f>
        <v/>
      </c>
      <c r="L450" s="19">
        <f>K450-G450</f>
        <v/>
      </c>
      <c r="M450" s="20">
        <f>L450*E450</f>
        <v/>
      </c>
      <c r="N450" s="20" t="n">
        <v>50</v>
      </c>
      <c r="O450" s="20" t="n"/>
      <c r="P450" s="20">
        <f>O450-N450</f>
        <v/>
      </c>
      <c r="Q450" s="20">
        <f>P450*E450</f>
        <v/>
      </c>
      <c r="R450" s="20" t="n"/>
    </row>
    <row r="451" ht="20" customHeight="1" s="1">
      <c r="A451" s="16" t="inlineStr">
        <is>
          <t>22103</t>
        </is>
      </c>
      <c r="B451" s="17" t="inlineStr">
        <is>
          <t>3DELUXE</t>
        </is>
      </c>
      <c r="C451" s="16" t="inlineStr">
        <is>
          <t>8022033015280</t>
        </is>
      </c>
      <c r="D451" s="17" t="inlineStr">
        <is>
          <t>3Deluxe 100ml 6.35 Dark Chocolate Blonde</t>
        </is>
      </c>
      <c r="E451" s="18" t="n">
        <v>5.5</v>
      </c>
      <c r="F451" s="18" t="n">
        <v>72</v>
      </c>
      <c r="G451" s="18" t="n">
        <v>129</v>
      </c>
      <c r="H451" s="18" t="n"/>
      <c r="I451" s="18" t="n">
        <v>129</v>
      </c>
      <c r="J451" s="18" t="n"/>
      <c r="K451" s="19">
        <f>H451+I451+J451</f>
        <v/>
      </c>
      <c r="L451" s="19">
        <f>K451-G451</f>
        <v/>
      </c>
      <c r="M451" s="20">
        <f>L451*E451</f>
        <v/>
      </c>
      <c r="N451" s="20" t="n">
        <v>50</v>
      </c>
      <c r="O451" s="20" t="n"/>
      <c r="P451" s="20">
        <f>O451-N451</f>
        <v/>
      </c>
      <c r="Q451" s="20">
        <f>P451*E451</f>
        <v/>
      </c>
      <c r="R451" s="20" t="n"/>
    </row>
    <row r="452" ht="20" customHeight="1" s="1">
      <c r="A452" s="21" t="inlineStr">
        <is>
          <t>10795</t>
        </is>
      </c>
      <c r="B452" s="22" t="inlineStr">
        <is>
          <t>3DELUXE</t>
        </is>
      </c>
      <c r="C452" s="21" t="inlineStr">
        <is>
          <t>8022033015563</t>
        </is>
      </c>
      <c r="D452" s="22" t="inlineStr">
        <is>
          <t>3Deluxe Professional 100ml 6.4</t>
        </is>
      </c>
      <c r="E452" s="23" t="n">
        <v>5.5</v>
      </c>
      <c r="F452" s="23" t="n">
        <v>72</v>
      </c>
      <c r="G452" s="23" t="n">
        <v>62</v>
      </c>
      <c r="H452" s="23" t="n"/>
      <c r="I452" s="23" t="n">
        <v>62</v>
      </c>
      <c r="J452" s="23" t="n"/>
      <c r="K452" s="19">
        <f>H452+I452+J452</f>
        <v/>
      </c>
      <c r="L452" s="19">
        <f>K452-G452</f>
        <v/>
      </c>
      <c r="M452" s="20">
        <f>L452*E452</f>
        <v/>
      </c>
      <c r="N452" s="20" t="n">
        <v>50</v>
      </c>
      <c r="O452" s="20" t="n"/>
      <c r="P452" s="20">
        <f>O452-N452</f>
        <v/>
      </c>
      <c r="Q452" s="20">
        <f>P452*E452</f>
        <v/>
      </c>
      <c r="R452" s="20" t="n"/>
    </row>
    <row r="453" ht="20" customHeight="1" s="1">
      <c r="A453" s="16" t="inlineStr">
        <is>
          <t>10953</t>
        </is>
      </c>
      <c r="B453" s="17" t="inlineStr">
        <is>
          <t>3DELUXE</t>
        </is>
      </c>
      <c r="C453" s="16" t="inlineStr">
        <is>
          <t>8022033015310</t>
        </is>
      </c>
      <c r="D453" s="17" t="inlineStr">
        <is>
          <t>3Deluxe Professional 100ml 6.52</t>
        </is>
      </c>
      <c r="E453" s="18" t="n">
        <v>5.5</v>
      </c>
      <c r="F453" s="18" t="n">
        <v>72</v>
      </c>
      <c r="G453" s="18" t="n">
        <v>70</v>
      </c>
      <c r="H453" s="18" t="n"/>
      <c r="I453" s="18" t="n">
        <v>70</v>
      </c>
      <c r="J453" s="18" t="n"/>
      <c r="K453" s="19">
        <f>H453+I453+J453</f>
        <v/>
      </c>
      <c r="L453" s="19">
        <f>K453-G453</f>
        <v/>
      </c>
      <c r="M453" s="20">
        <f>L453*E453</f>
        <v/>
      </c>
      <c r="N453" s="20" t="n">
        <v>50</v>
      </c>
      <c r="O453" s="20" t="n"/>
      <c r="P453" s="20">
        <f>O453-N453</f>
        <v/>
      </c>
      <c r="Q453" s="20">
        <f>P453*E453</f>
        <v/>
      </c>
      <c r="R453" s="20" t="n"/>
    </row>
    <row r="454" ht="20" customHeight="1" s="1">
      <c r="A454" s="21" t="inlineStr">
        <is>
          <t>11006</t>
        </is>
      </c>
      <c r="B454" s="22" t="inlineStr">
        <is>
          <t>3DELUXE</t>
        </is>
      </c>
      <c r="C454" s="21" t="inlineStr">
        <is>
          <t>8022033015471</t>
        </is>
      </c>
      <c r="D454" s="22" t="inlineStr">
        <is>
          <t>3Deluxe Professional 100ml 6.62</t>
        </is>
      </c>
      <c r="E454" s="23" t="n">
        <v>5.5</v>
      </c>
      <c r="F454" s="23" t="n">
        <v>72</v>
      </c>
      <c r="G454" s="23" t="n">
        <v>1</v>
      </c>
      <c r="H454" s="23" t="n"/>
      <c r="I454" s="23" t="n">
        <v>1</v>
      </c>
      <c r="J454" s="23" t="n"/>
      <c r="K454" s="19">
        <f>H454+I454+J454</f>
        <v/>
      </c>
      <c r="L454" s="19">
        <f>K454-G454</f>
        <v/>
      </c>
      <c r="M454" s="20">
        <f>L454*E454</f>
        <v/>
      </c>
      <c r="N454" s="20" t="n">
        <v>50</v>
      </c>
      <c r="O454" s="20" t="n"/>
      <c r="P454" s="20">
        <f>O454-N454</f>
        <v/>
      </c>
      <c r="Q454" s="20">
        <f>P454*E454</f>
        <v/>
      </c>
      <c r="R454" s="20" t="n"/>
    </row>
    <row r="455" ht="20" customHeight="1" s="1">
      <c r="A455" s="16" t="inlineStr">
        <is>
          <t>22024</t>
        </is>
      </c>
      <c r="B455" s="17" t="inlineStr">
        <is>
          <t>3DELUXE</t>
        </is>
      </c>
      <c r="C455" s="16" t="inlineStr">
        <is>
          <t>8022033015464</t>
        </is>
      </c>
      <c r="D455" s="17" t="inlineStr">
        <is>
          <t>3Deluxe 100ml 6.66 Dark Intense Red Blonde</t>
        </is>
      </c>
      <c r="E455" s="18" t="n">
        <v>5.5</v>
      </c>
      <c r="F455" s="18" t="n">
        <v>72</v>
      </c>
      <c r="G455" s="18" t="n">
        <v>1</v>
      </c>
      <c r="H455" s="18" t="n"/>
      <c r="I455" s="18" t="n">
        <v>1</v>
      </c>
      <c r="J455" s="18" t="n"/>
      <c r="K455" s="19">
        <f>H455+I455+J455</f>
        <v/>
      </c>
      <c r="L455" s="19">
        <f>K455-G455</f>
        <v/>
      </c>
      <c r="M455" s="20">
        <f>L455*E455</f>
        <v/>
      </c>
      <c r="N455" s="20" t="n">
        <v>50</v>
      </c>
      <c r="O455" s="20" t="n"/>
      <c r="P455" s="20">
        <f>O455-N455</f>
        <v/>
      </c>
      <c r="Q455" s="20">
        <f>P455*E455</f>
        <v/>
      </c>
      <c r="R455" s="20" t="n"/>
    </row>
    <row r="456" ht="20" customHeight="1" s="1">
      <c r="A456" s="21" t="inlineStr">
        <is>
          <t>10839</t>
        </is>
      </c>
      <c r="B456" s="22" t="inlineStr">
        <is>
          <t>3DELUXE</t>
        </is>
      </c>
      <c r="C456" s="21" t="inlineStr">
        <is>
          <t>8022033014887</t>
        </is>
      </c>
      <c r="D456" s="22" t="inlineStr">
        <is>
          <t>3Deluxe Professional 100ml 6.8 (6.7)</t>
        </is>
      </c>
      <c r="E456" s="23" t="n">
        <v>5.5</v>
      </c>
      <c r="F456" s="23" t="n">
        <v>72</v>
      </c>
      <c r="G456" s="23" t="n">
        <v>155</v>
      </c>
      <c r="H456" s="23" t="n"/>
      <c r="I456" s="23" t="n">
        <v>155</v>
      </c>
      <c r="J456" s="23" t="n"/>
      <c r="K456" s="19">
        <f>H456+I456+J456</f>
        <v/>
      </c>
      <c r="L456" s="19">
        <f>K456-G456</f>
        <v/>
      </c>
      <c r="M456" s="20">
        <f>L456*E456</f>
        <v/>
      </c>
      <c r="N456" s="20" t="n">
        <v>50</v>
      </c>
      <c r="O456" s="20" t="n"/>
      <c r="P456" s="20">
        <f>O456-N456</f>
        <v/>
      </c>
      <c r="Q456" s="20">
        <f>P456*E456</f>
        <v/>
      </c>
      <c r="R456" s="20" t="n"/>
    </row>
    <row r="457" ht="20" customHeight="1" s="1">
      <c r="A457" s="16" t="inlineStr">
        <is>
          <t>10618</t>
        </is>
      </c>
      <c r="B457" s="17" t="inlineStr">
        <is>
          <t>3DELUXE</t>
        </is>
      </c>
      <c r="C457" s="16" t="inlineStr">
        <is>
          <t>8022033015341</t>
        </is>
      </c>
      <c r="D457" s="17" t="inlineStr">
        <is>
          <t>3Deluxe Professional 100ml 6.88 (6.77)</t>
        </is>
      </c>
      <c r="E457" s="18" t="n">
        <v>5.5</v>
      </c>
      <c r="F457" s="18" t="n">
        <v>72</v>
      </c>
      <c r="G457" s="18" t="n">
        <v>48</v>
      </c>
      <c r="H457" s="18" t="n"/>
      <c r="I457" s="18" t="n">
        <v>48</v>
      </c>
      <c r="J457" s="18" t="n"/>
      <c r="K457" s="19">
        <f>H457+I457+J457</f>
        <v/>
      </c>
      <c r="L457" s="19">
        <f>K457-G457</f>
        <v/>
      </c>
      <c r="M457" s="20">
        <f>L457*E457</f>
        <v/>
      </c>
      <c r="N457" s="20" t="n">
        <v>50</v>
      </c>
      <c r="O457" s="20" t="n"/>
      <c r="P457" s="20">
        <f>O457-N457</f>
        <v/>
      </c>
      <c r="Q457" s="20">
        <f>P457*E457</f>
        <v/>
      </c>
      <c r="R457" s="20" t="n"/>
    </row>
    <row r="458" ht="20" customHeight="1" s="1">
      <c r="A458" s="21" t="inlineStr">
        <is>
          <t>10336</t>
        </is>
      </c>
      <c r="B458" s="22" t="inlineStr">
        <is>
          <t>3DELUXE</t>
        </is>
      </c>
      <c r="C458" s="21" t="inlineStr">
        <is>
          <t>8022033015686</t>
        </is>
      </c>
      <c r="D458" s="22" t="inlineStr">
        <is>
          <t>3Deluxe Professional 100ml 7.00</t>
        </is>
      </c>
      <c r="E458" s="23" t="n">
        <v>5.5</v>
      </c>
      <c r="F458" s="23" t="n">
        <v>72</v>
      </c>
      <c r="G458" s="23" t="n">
        <v>36</v>
      </c>
      <c r="H458" s="23" t="n"/>
      <c r="I458" s="23" t="n">
        <v>36</v>
      </c>
      <c r="J458" s="23" t="n"/>
      <c r="K458" s="19">
        <f>H458+I458+J458</f>
        <v/>
      </c>
      <c r="L458" s="19">
        <f>K458-G458</f>
        <v/>
      </c>
      <c r="M458" s="20">
        <f>L458*E458</f>
        <v/>
      </c>
      <c r="N458" s="20" t="n">
        <v>50</v>
      </c>
      <c r="O458" s="20" t="n"/>
      <c r="P458" s="20">
        <f>O458-N458</f>
        <v/>
      </c>
      <c r="Q458" s="20">
        <f>P458*E458</f>
        <v/>
      </c>
      <c r="R458" s="20" t="n"/>
    </row>
    <row r="459" ht="20" customHeight="1" s="1">
      <c r="A459" s="16" t="inlineStr">
        <is>
          <t>21992</t>
        </is>
      </c>
      <c r="B459" s="17" t="inlineStr">
        <is>
          <t>3DELUXE</t>
        </is>
      </c>
      <c r="C459" s="16" t="inlineStr">
        <is>
          <t>8022033015037</t>
        </is>
      </c>
      <c r="D459" s="17" t="inlineStr">
        <is>
          <t>3Deluxe 100ml 7.0 Blonde</t>
        </is>
      </c>
      <c r="E459" s="18" t="n">
        <v>5.5</v>
      </c>
      <c r="F459" s="18" t="n">
        <v>72</v>
      </c>
      <c r="G459" s="18" t="n">
        <v>199</v>
      </c>
      <c r="H459" s="18" t="n"/>
      <c r="I459" s="18" t="n">
        <v>199</v>
      </c>
      <c r="J459" s="18" t="n"/>
      <c r="K459" s="19">
        <f>H459+I459+J459</f>
        <v/>
      </c>
      <c r="L459" s="19">
        <f>K459-G459</f>
        <v/>
      </c>
      <c r="M459" s="20">
        <f>L459*E459</f>
        <v/>
      </c>
      <c r="N459" s="20" t="n">
        <v>50</v>
      </c>
      <c r="O459" s="20" t="n"/>
      <c r="P459" s="20">
        <f>O459-N459</f>
        <v/>
      </c>
      <c r="Q459" s="20">
        <f>P459*E459</f>
        <v/>
      </c>
      <c r="R459" s="20" t="n"/>
    </row>
    <row r="460" ht="20" customHeight="1" s="1">
      <c r="A460" s="21" t="inlineStr">
        <is>
          <t>10654</t>
        </is>
      </c>
      <c r="B460" s="22" t="inlineStr">
        <is>
          <t>3DELUXE</t>
        </is>
      </c>
      <c r="C460" s="21" t="inlineStr">
        <is>
          <t>8022033015723</t>
        </is>
      </c>
      <c r="D460" s="22" t="inlineStr">
        <is>
          <t>3Deluxe Professional 100ml 7.07</t>
        </is>
      </c>
      <c r="E460" s="23" t="n">
        <v>5.5</v>
      </c>
      <c r="F460" s="23" t="n">
        <v>72</v>
      </c>
      <c r="G460" s="23" t="n">
        <v>44</v>
      </c>
      <c r="H460" s="23" t="n"/>
      <c r="I460" s="23" t="n">
        <v>44</v>
      </c>
      <c r="J460" s="23" t="n"/>
      <c r="K460" s="19">
        <f>H460+I460+J460</f>
        <v/>
      </c>
      <c r="L460" s="19">
        <f>K460-G460</f>
        <v/>
      </c>
      <c r="M460" s="20">
        <f>L460*E460</f>
        <v/>
      </c>
      <c r="N460" s="20" t="n">
        <v>50</v>
      </c>
      <c r="O460" s="20" t="n"/>
      <c r="P460" s="20">
        <f>O460-N460</f>
        <v/>
      </c>
      <c r="Q460" s="20">
        <f>P460*E460</f>
        <v/>
      </c>
      <c r="R460" s="20" t="n"/>
    </row>
    <row r="461" ht="20" customHeight="1" s="1">
      <c r="A461" s="16" t="inlineStr">
        <is>
          <t>21993</t>
        </is>
      </c>
      <c r="B461" s="17" t="inlineStr">
        <is>
          <t>3DELUXE</t>
        </is>
      </c>
      <c r="C461" s="16" t="inlineStr">
        <is>
          <t>8022033111913</t>
        </is>
      </c>
      <c r="D461" s="17" t="inlineStr">
        <is>
          <t>3Deluxe 100ml 7.1 Ash Blonde</t>
        </is>
      </c>
      <c r="E461" s="18" t="n">
        <v>5.5</v>
      </c>
      <c r="F461" s="18" t="n">
        <v>72</v>
      </c>
      <c r="G461" s="18" t="n">
        <v>384</v>
      </c>
      <c r="H461" s="18" t="n"/>
      <c r="I461" s="18" t="n"/>
      <c r="J461" s="18" t="n"/>
      <c r="K461" s="19" t="n"/>
      <c r="L461" s="19" t="n"/>
      <c r="M461" s="20" t="n"/>
      <c r="N461" s="20" t="n">
        <v>50</v>
      </c>
      <c r="O461" s="20" t="n"/>
      <c r="P461" s="20">
        <f>O461-N461</f>
        <v/>
      </c>
      <c r="Q461" s="20">
        <f>P461*E461</f>
        <v/>
      </c>
      <c r="R461" s="20" t="n"/>
    </row>
    <row r="462" ht="20" customHeight="1" s="1">
      <c r="A462" s="21" t="inlineStr">
        <is>
          <t>17441</t>
        </is>
      </c>
      <c r="B462" s="22" t="inlineStr">
        <is>
          <t>3DELUXE</t>
        </is>
      </c>
      <c r="C462" s="21" t="inlineStr">
        <is>
          <t>8022033102393</t>
        </is>
      </c>
      <c r="D462" s="22" t="inlineStr">
        <is>
          <t>3Deluxe Professional 100ml 7.11</t>
        </is>
      </c>
      <c r="E462" s="23" t="n">
        <v>5.5</v>
      </c>
      <c r="F462" s="23" t="n">
        <v>72</v>
      </c>
      <c r="G462" s="23" t="n">
        <v>176</v>
      </c>
      <c r="H462" s="23" t="n"/>
      <c r="I462" s="23" t="n">
        <v>176</v>
      </c>
      <c r="J462" s="23" t="n"/>
      <c r="K462" s="19">
        <f>H462+I462+J462</f>
        <v/>
      </c>
      <c r="L462" s="19">
        <f>K462-G462</f>
        <v/>
      </c>
      <c r="M462" s="20">
        <f>L462*E462</f>
        <v/>
      </c>
      <c r="N462" s="20" t="n">
        <v>50</v>
      </c>
      <c r="O462" s="20" t="n"/>
      <c r="P462" s="20">
        <f>O462-N462</f>
        <v/>
      </c>
      <c r="Q462" s="20">
        <f>P462*E462</f>
        <v/>
      </c>
      <c r="R462" s="20" t="n"/>
    </row>
    <row r="463" ht="20" customHeight="1" s="1">
      <c r="A463" s="16" t="inlineStr">
        <is>
          <t>10784</t>
        </is>
      </c>
      <c r="B463" s="17" t="inlineStr">
        <is>
          <t>3DELUXE</t>
        </is>
      </c>
      <c r="C463" s="16" t="inlineStr">
        <is>
          <t>8022033015402</t>
        </is>
      </c>
      <c r="D463" s="17" t="inlineStr">
        <is>
          <t>3Deluxe Professional 100ml 7.13</t>
        </is>
      </c>
      <c r="E463" s="18" t="n">
        <v>5.5</v>
      </c>
      <c r="F463" s="18" t="n">
        <v>72</v>
      </c>
      <c r="G463" s="18" t="n">
        <v>100</v>
      </c>
      <c r="H463" s="18" t="n"/>
      <c r="I463" s="18" t="n">
        <v>100</v>
      </c>
      <c r="J463" s="18" t="n"/>
      <c r="K463" s="19">
        <f>H463+I463+J463</f>
        <v/>
      </c>
      <c r="L463" s="19">
        <f>K463-G463</f>
        <v/>
      </c>
      <c r="M463" s="20">
        <f>L463*E463</f>
        <v/>
      </c>
      <c r="N463" s="20" t="n">
        <v>50</v>
      </c>
      <c r="O463" s="20" t="n">
        <v>2</v>
      </c>
      <c r="P463" s="20">
        <f>O463-N463</f>
        <v/>
      </c>
      <c r="Q463" s="20">
        <f>P463*E463</f>
        <v/>
      </c>
      <c r="R463" s="20" t="inlineStr">
        <is>
          <t>Perviz</t>
        </is>
      </c>
    </row>
    <row r="464" ht="20" customHeight="1" s="1">
      <c r="A464" s="21" t="inlineStr">
        <is>
          <t>10528</t>
        </is>
      </c>
      <c r="B464" s="22" t="inlineStr">
        <is>
          <t>3DELUXE</t>
        </is>
      </c>
      <c r="C464" s="21" t="inlineStr">
        <is>
          <t>8022033015198</t>
        </is>
      </c>
      <c r="D464" s="22" t="inlineStr">
        <is>
          <t>3Deluxe Professional 100ml 7.3</t>
        </is>
      </c>
      <c r="E464" s="23" t="n">
        <v>5.5</v>
      </c>
      <c r="F464" s="23" t="n">
        <v>72</v>
      </c>
      <c r="G464" s="23" t="n">
        <v>55</v>
      </c>
      <c r="H464" s="23" t="n"/>
      <c r="I464" s="23" t="n">
        <v>55</v>
      </c>
      <c r="J464" s="23" t="n"/>
      <c r="K464" s="19">
        <f>H464+I464+J464</f>
        <v/>
      </c>
      <c r="L464" s="19">
        <f>K464-G464</f>
        <v/>
      </c>
      <c r="M464" s="20">
        <f>L464*E464</f>
        <v/>
      </c>
      <c r="N464" s="20" t="n">
        <v>50</v>
      </c>
      <c r="O464" s="20" t="n"/>
      <c r="P464" s="20">
        <f>O464-N464</f>
        <v/>
      </c>
      <c r="Q464" s="20">
        <f>P464*E464</f>
        <v/>
      </c>
      <c r="R464" s="20" t="n"/>
    </row>
    <row r="465" ht="20" customHeight="1" s="1">
      <c r="A465" s="16" t="inlineStr">
        <is>
          <t>10849</t>
        </is>
      </c>
      <c r="B465" s="17" t="inlineStr">
        <is>
          <t>3DELUXE</t>
        </is>
      </c>
      <c r="C465" s="16" t="inlineStr">
        <is>
          <t>8022033015235</t>
        </is>
      </c>
      <c r="D465" s="17" t="inlineStr">
        <is>
          <t>3Deluxe Professional 100ml 7.31</t>
        </is>
      </c>
      <c r="E465" s="18" t="n">
        <v>5.5</v>
      </c>
      <c r="F465" s="18" t="n">
        <v>72</v>
      </c>
      <c r="G465" s="18" t="n">
        <v>34</v>
      </c>
      <c r="H465" s="18" t="n"/>
      <c r="I465" s="18" t="n">
        <v>34</v>
      </c>
      <c r="J465" s="18" t="n"/>
      <c r="K465" s="19">
        <f>H465+I465+J465</f>
        <v/>
      </c>
      <c r="L465" s="19">
        <f>K465-G465</f>
        <v/>
      </c>
      <c r="M465" s="20">
        <f>L465*E465</f>
        <v/>
      </c>
      <c r="N465" s="20" t="n">
        <v>50</v>
      </c>
      <c r="O465" s="20" t="n"/>
      <c r="P465" s="20">
        <f>O465-N465</f>
        <v/>
      </c>
      <c r="Q465" s="20">
        <f>P465*E465</f>
        <v/>
      </c>
      <c r="R465" s="20" t="n"/>
    </row>
    <row r="466" ht="20" customHeight="1" s="1">
      <c r="A466" s="21" t="inlineStr">
        <is>
          <t>10661</t>
        </is>
      </c>
      <c r="B466" s="22" t="inlineStr">
        <is>
          <t>3DELUXE</t>
        </is>
      </c>
      <c r="C466" s="21" t="inlineStr">
        <is>
          <t>8022033015266</t>
        </is>
      </c>
      <c r="D466" s="22" t="inlineStr">
        <is>
          <t>3Deluxe Professional 100ml 7.32</t>
        </is>
      </c>
      <c r="E466" s="23" t="n">
        <v>5.5</v>
      </c>
      <c r="F466" s="23" t="n">
        <v>72</v>
      </c>
      <c r="G466" s="23" t="n">
        <v>29</v>
      </c>
      <c r="H466" s="23" t="n"/>
      <c r="I466" s="23" t="n">
        <v>29</v>
      </c>
      <c r="J466" s="23" t="n"/>
      <c r="K466" s="19">
        <f>H466+I466+J466</f>
        <v/>
      </c>
      <c r="L466" s="19">
        <f>K466-G466</f>
        <v/>
      </c>
      <c r="M466" s="20">
        <f>L466*E466</f>
        <v/>
      </c>
      <c r="N466" s="20" t="n">
        <v>50</v>
      </c>
      <c r="O466" s="20" t="n"/>
      <c r="P466" s="20">
        <f>O466-N466</f>
        <v/>
      </c>
      <c r="Q466" s="20">
        <f>P466*E466</f>
        <v/>
      </c>
      <c r="R466" s="20" t="n"/>
    </row>
    <row r="467" ht="20" customHeight="1" s="1">
      <c r="A467" s="16" t="inlineStr">
        <is>
          <t>11199</t>
        </is>
      </c>
      <c r="B467" s="17" t="inlineStr">
        <is>
          <t>3DELUXE</t>
        </is>
      </c>
      <c r="C467" s="16" t="inlineStr">
        <is>
          <t>8022033015556</t>
        </is>
      </c>
      <c r="D467" s="17" t="inlineStr">
        <is>
          <t>3Deluxe Professional 100ml 7.4</t>
        </is>
      </c>
      <c r="E467" s="18" t="n">
        <v>5.5</v>
      </c>
      <c r="F467" s="18" t="n">
        <v>72</v>
      </c>
      <c r="G467" s="18" t="n">
        <v>67</v>
      </c>
      <c r="H467" s="18" t="n"/>
      <c r="I467" s="18" t="n">
        <v>67</v>
      </c>
      <c r="J467" s="18" t="n"/>
      <c r="K467" s="19">
        <f>H467+I467+J467</f>
        <v/>
      </c>
      <c r="L467" s="19">
        <f>K467-G467</f>
        <v/>
      </c>
      <c r="M467" s="20">
        <f>L467*E467</f>
        <v/>
      </c>
      <c r="N467" s="20" t="n">
        <v>50</v>
      </c>
      <c r="O467" s="20" t="n"/>
      <c r="P467" s="20">
        <f>O467-N467</f>
        <v/>
      </c>
      <c r="Q467" s="20">
        <f>P467*E467</f>
        <v/>
      </c>
      <c r="R467" s="20" t="n"/>
    </row>
    <row r="468" ht="20" customHeight="1" s="1">
      <c r="A468" s="21" t="inlineStr">
        <is>
          <t>10624</t>
        </is>
      </c>
      <c r="B468" s="22" t="inlineStr">
        <is>
          <t>3DELUXE</t>
        </is>
      </c>
      <c r="C468" s="21" t="inlineStr">
        <is>
          <t>8022033015587</t>
        </is>
      </c>
      <c r="D468" s="22" t="inlineStr">
        <is>
          <t>3Deluxe Professional 100ml 7.43</t>
        </is>
      </c>
      <c r="E468" s="23" t="n">
        <v>5.5</v>
      </c>
      <c r="F468" s="23" t="n">
        <v>72</v>
      </c>
      <c r="G468" s="23" t="n">
        <v>32</v>
      </c>
      <c r="H468" s="23" t="n"/>
      <c r="I468" s="23" t="n">
        <v>32</v>
      </c>
      <c r="J468" s="23" t="n"/>
      <c r="K468" s="19">
        <f>H468+I468+J468</f>
        <v/>
      </c>
      <c r="L468" s="19">
        <f>K468-G468</f>
        <v/>
      </c>
      <c r="M468" s="20">
        <f>L468*E468</f>
        <v/>
      </c>
      <c r="N468" s="20" t="n">
        <v>50</v>
      </c>
      <c r="O468" s="20" t="n"/>
      <c r="P468" s="20">
        <f>O468-N468</f>
        <v/>
      </c>
      <c r="Q468" s="20">
        <f>P468*E468</f>
        <v/>
      </c>
      <c r="R468" s="20" t="n"/>
    </row>
    <row r="469" ht="20" customHeight="1" s="1">
      <c r="A469" s="16" t="inlineStr">
        <is>
          <t>10920</t>
        </is>
      </c>
      <c r="B469" s="17" t="inlineStr">
        <is>
          <t>3DELUXE</t>
        </is>
      </c>
      <c r="C469" s="16" t="inlineStr">
        <is>
          <t>8022033015594</t>
        </is>
      </c>
      <c r="D469" s="17" t="inlineStr">
        <is>
          <t>3Deluxe Professional 100ml 7.44</t>
        </is>
      </c>
      <c r="E469" s="18" t="n">
        <v>5.5</v>
      </c>
      <c r="F469" s="18" t="n">
        <v>72</v>
      </c>
      <c r="G469" s="18" t="n">
        <v>48</v>
      </c>
      <c r="H469" s="18" t="n"/>
      <c r="I469" s="18" t="n">
        <v>48</v>
      </c>
      <c r="J469" s="18" t="n"/>
      <c r="K469" s="19">
        <f>H469+I469+J469</f>
        <v/>
      </c>
      <c r="L469" s="19">
        <f>K469-G469</f>
        <v/>
      </c>
      <c r="M469" s="20">
        <f>L469*E469</f>
        <v/>
      </c>
      <c r="N469" s="20" t="n">
        <v>50</v>
      </c>
      <c r="O469" s="20" t="n"/>
      <c r="P469" s="20">
        <f>O469-N469</f>
        <v/>
      </c>
      <c r="Q469" s="20">
        <f>P469*E469</f>
        <v/>
      </c>
      <c r="R469" s="20" t="n"/>
    </row>
    <row r="470" ht="20" customHeight="1" s="1">
      <c r="A470" s="21" t="inlineStr">
        <is>
          <t>11440</t>
        </is>
      </c>
      <c r="B470" s="22" t="inlineStr">
        <is>
          <t>3DELUXE</t>
        </is>
      </c>
      <c r="C470" s="21" t="inlineStr">
        <is>
          <t>8022033015853</t>
        </is>
      </c>
      <c r="D470" s="22" t="inlineStr">
        <is>
          <t>3Deluxe Professional 100ml 7.62</t>
        </is>
      </c>
      <c r="E470" s="23" t="n">
        <v>5.5</v>
      </c>
      <c r="F470" s="23" t="n">
        <v>72</v>
      </c>
      <c r="G470" s="23" t="n">
        <v>107</v>
      </c>
      <c r="H470" s="23" t="n"/>
      <c r="I470" s="23" t="n">
        <v>107</v>
      </c>
      <c r="J470" s="23" t="n"/>
      <c r="K470" s="19">
        <f>H470+I470+J470</f>
        <v/>
      </c>
      <c r="L470" s="19">
        <f>K470-G470</f>
        <v/>
      </c>
      <c r="M470" s="20">
        <f>L470*E470</f>
        <v/>
      </c>
      <c r="N470" s="20" t="n">
        <v>50</v>
      </c>
      <c r="O470" s="20" t="n"/>
      <c r="P470" s="20">
        <f>O470-N470</f>
        <v/>
      </c>
      <c r="Q470" s="20">
        <f>P470*E470</f>
        <v/>
      </c>
      <c r="R470" s="20" t="n"/>
    </row>
    <row r="471" ht="20" customHeight="1" s="1">
      <c r="A471" s="16" t="inlineStr">
        <is>
          <t>10859</t>
        </is>
      </c>
      <c r="B471" s="17" t="inlineStr">
        <is>
          <t>3DELUXE</t>
        </is>
      </c>
      <c r="C471" s="16" t="inlineStr">
        <is>
          <t>8022033014955</t>
        </is>
      </c>
      <c r="D471" s="17" t="inlineStr">
        <is>
          <t>3Deluxe Professional 100ml 7.64</t>
        </is>
      </c>
      <c r="E471" s="18" t="n">
        <v>5.5</v>
      </c>
      <c r="F471" s="18" t="n">
        <v>72</v>
      </c>
      <c r="G471" s="18" t="n">
        <v>69</v>
      </c>
      <c r="H471" s="18" t="n"/>
      <c r="I471" s="18" t="n">
        <v>69</v>
      </c>
      <c r="J471" s="18" t="n"/>
      <c r="K471" s="19">
        <f>H471+I471+J471</f>
        <v/>
      </c>
      <c r="L471" s="19">
        <f>K471-G471</f>
        <v/>
      </c>
      <c r="M471" s="20">
        <f>L471*E471</f>
        <v/>
      </c>
      <c r="N471" s="20" t="n">
        <v>50</v>
      </c>
      <c r="O471" s="20" t="n"/>
      <c r="P471" s="20">
        <f>O471-N471</f>
        <v/>
      </c>
      <c r="Q471" s="20">
        <f>P471*E471</f>
        <v/>
      </c>
      <c r="R471" s="20" t="n"/>
    </row>
    <row r="472" ht="20" customHeight="1" s="1">
      <c r="A472" s="21" t="inlineStr">
        <is>
          <t>11426</t>
        </is>
      </c>
      <c r="B472" s="22" t="inlineStr">
        <is>
          <t>3DELUXE</t>
        </is>
      </c>
      <c r="C472" s="21" t="inlineStr">
        <is>
          <t>8022033015457</t>
        </is>
      </c>
      <c r="D472" s="22" t="inlineStr">
        <is>
          <t>3Deluxe Professional 100ml 7.66</t>
        </is>
      </c>
      <c r="E472" s="23" t="n">
        <v>5.5</v>
      </c>
      <c r="F472" s="23" t="n">
        <v>72</v>
      </c>
      <c r="G472" s="23" t="n">
        <v>33</v>
      </c>
      <c r="H472" s="23" t="n"/>
      <c r="I472" s="23" t="n">
        <v>33</v>
      </c>
      <c r="J472" s="23" t="n"/>
      <c r="K472" s="19">
        <f>H472+I472+J472</f>
        <v/>
      </c>
      <c r="L472" s="19">
        <f>K472-G472</f>
        <v/>
      </c>
      <c r="M472" s="20">
        <f>L472*E472</f>
        <v/>
      </c>
      <c r="N472" s="20" t="n">
        <v>50</v>
      </c>
      <c r="O472" s="20" t="n"/>
      <c r="P472" s="20">
        <f>O472-N472</f>
        <v/>
      </c>
      <c r="Q472" s="20">
        <f>P472*E472</f>
        <v/>
      </c>
      <c r="R472" s="20" t="n"/>
    </row>
    <row r="473" ht="20" customHeight="1" s="1">
      <c r="A473" s="16" t="inlineStr">
        <is>
          <t>10571</t>
        </is>
      </c>
      <c r="B473" s="17" t="inlineStr">
        <is>
          <t>3DELUXE</t>
        </is>
      </c>
      <c r="C473" s="16" t="inlineStr">
        <is>
          <t>8022033015785</t>
        </is>
      </c>
      <c r="D473" s="17" t="inlineStr">
        <is>
          <t>3Deluxe Professional 100ml 7.8 (7.7)</t>
        </is>
      </c>
      <c r="E473" s="18" t="n">
        <v>5.5</v>
      </c>
      <c r="F473" s="18" t="n">
        <v>72</v>
      </c>
      <c r="G473" s="18" t="n">
        <v>29</v>
      </c>
      <c r="H473" s="18" t="n"/>
      <c r="I473" s="18" t="n">
        <v>29</v>
      </c>
      <c r="J473" s="18" t="n"/>
      <c r="K473" s="19">
        <f>H473+I473+J473</f>
        <v/>
      </c>
      <c r="L473" s="19">
        <f>K473-G473</f>
        <v/>
      </c>
      <c r="M473" s="20">
        <f>L473*E473</f>
        <v/>
      </c>
      <c r="N473" s="20" t="n">
        <v>50</v>
      </c>
      <c r="O473" s="20" t="n"/>
      <c r="P473" s="20">
        <f>O473-N473</f>
        <v/>
      </c>
      <c r="Q473" s="20">
        <f>P473*E473</f>
        <v/>
      </c>
      <c r="R473" s="20" t="n"/>
    </row>
    <row r="474" ht="20" customHeight="1" s="1">
      <c r="A474" s="21" t="inlineStr">
        <is>
          <t>11039</t>
        </is>
      </c>
      <c r="B474" s="22" t="inlineStr">
        <is>
          <t>3DELUXE</t>
        </is>
      </c>
      <c r="C474" s="21" t="inlineStr">
        <is>
          <t>8022033102331</t>
        </is>
      </c>
      <c r="D474" s="22" t="inlineStr">
        <is>
          <t>3Deluxe Professional 100ml 7.82 (7.72)</t>
        </is>
      </c>
      <c r="E474" s="23" t="n">
        <v>5.5</v>
      </c>
      <c r="F474" s="23" t="n">
        <v>72</v>
      </c>
      <c r="G474" s="23" t="n">
        <v>39</v>
      </c>
      <c r="H474" s="23" t="n"/>
      <c r="I474" s="23" t="n">
        <v>39</v>
      </c>
      <c r="J474" s="23" t="n"/>
      <c r="K474" s="19">
        <f>H474+I474+J474</f>
        <v/>
      </c>
      <c r="L474" s="19">
        <f>K474-G474</f>
        <v/>
      </c>
      <c r="M474" s="20">
        <f>L474*E474</f>
        <v/>
      </c>
      <c r="N474" s="20" t="n">
        <v>50</v>
      </c>
      <c r="O474" s="20" t="n"/>
      <c r="P474" s="20">
        <f>O474-N474</f>
        <v/>
      </c>
      <c r="Q474" s="20">
        <f>P474*E474</f>
        <v/>
      </c>
      <c r="R474" s="20" t="n"/>
    </row>
    <row r="475" ht="20" customHeight="1" s="1">
      <c r="A475" s="16" t="inlineStr">
        <is>
          <t>10470</t>
        </is>
      </c>
      <c r="B475" s="17" t="inlineStr">
        <is>
          <t>3DELUXE</t>
        </is>
      </c>
      <c r="C475" s="16" t="inlineStr">
        <is>
          <t>8022033015693</t>
        </is>
      </c>
      <c r="D475" s="17" t="inlineStr">
        <is>
          <t>3Deluxe Professional 100ml 8.00</t>
        </is>
      </c>
      <c r="E475" s="18" t="n">
        <v>5.5</v>
      </c>
      <c r="F475" s="18" t="n">
        <v>72</v>
      </c>
      <c r="G475" s="18" t="n">
        <v>45</v>
      </c>
      <c r="H475" s="18" t="n"/>
      <c r="I475" s="18" t="n">
        <v>45</v>
      </c>
      <c r="J475" s="18" t="n"/>
      <c r="K475" s="19">
        <f>H475+I475+J475</f>
        <v/>
      </c>
      <c r="L475" s="19">
        <f>K475-G475</f>
        <v/>
      </c>
      <c r="M475" s="20">
        <f>L475*E475</f>
        <v/>
      </c>
      <c r="N475" s="20" t="n">
        <v>50</v>
      </c>
      <c r="O475" s="20" t="n"/>
      <c r="P475" s="20">
        <f>O475-N475</f>
        <v/>
      </c>
      <c r="Q475" s="20">
        <f>P475*E475</f>
        <v/>
      </c>
      <c r="R475" s="20" t="n"/>
    </row>
    <row r="476" ht="20" customHeight="1" s="1">
      <c r="A476" s="21" t="inlineStr">
        <is>
          <t>21991</t>
        </is>
      </c>
      <c r="B476" s="22" t="inlineStr">
        <is>
          <t>3DELUXE</t>
        </is>
      </c>
      <c r="C476" s="21" t="inlineStr">
        <is>
          <t>8022033015020</t>
        </is>
      </c>
      <c r="D476" s="22" t="inlineStr">
        <is>
          <t>3Deluxe 100ml 8.0 Light Blonde</t>
        </is>
      </c>
      <c r="E476" s="23" t="n">
        <v>5.5</v>
      </c>
      <c r="F476" s="23" t="n">
        <v>72</v>
      </c>
      <c r="G476" s="23" t="n">
        <v>160</v>
      </c>
      <c r="H476" s="23" t="n"/>
      <c r="I476" s="23" t="n">
        <v>160</v>
      </c>
      <c r="J476" s="23" t="n"/>
      <c r="K476" s="19">
        <f>H476+I476+J476</f>
        <v/>
      </c>
      <c r="L476" s="19">
        <f>K476-G476</f>
        <v/>
      </c>
      <c r="M476" s="20">
        <f>L476*E476</f>
        <v/>
      </c>
      <c r="N476" s="20" t="n">
        <v>50</v>
      </c>
      <c r="O476" s="20" t="n"/>
      <c r="P476" s="20">
        <f>O476-N476</f>
        <v/>
      </c>
      <c r="Q476" s="20">
        <f>P476*E476</f>
        <v/>
      </c>
      <c r="R476" s="20" t="n"/>
    </row>
    <row r="477" ht="20" customHeight="1" s="1">
      <c r="A477" s="16" t="inlineStr">
        <is>
          <t>10719</t>
        </is>
      </c>
      <c r="B477" s="17" t="inlineStr">
        <is>
          <t>3DELUXE</t>
        </is>
      </c>
      <c r="C477" s="16" t="inlineStr">
        <is>
          <t>8022033015730</t>
        </is>
      </c>
      <c r="D477" s="17" t="inlineStr">
        <is>
          <t>3Deluxe Professional 100ml 8.07</t>
        </is>
      </c>
      <c r="E477" s="18" t="n">
        <v>5.5</v>
      </c>
      <c r="F477" s="18" t="n">
        <v>72</v>
      </c>
      <c r="G477" s="18" t="n">
        <v>34</v>
      </c>
      <c r="H477" s="18" t="n"/>
      <c r="I477" s="18" t="n">
        <v>34</v>
      </c>
      <c r="J477" s="18" t="n"/>
      <c r="K477" s="19">
        <f>H477+I477+J477</f>
        <v/>
      </c>
      <c r="L477" s="19">
        <f>K477-G477</f>
        <v/>
      </c>
      <c r="M477" s="20">
        <f>L477*E477</f>
        <v/>
      </c>
      <c r="N477" s="20" t="n">
        <v>50</v>
      </c>
      <c r="O477" s="20" t="n"/>
      <c r="P477" s="20">
        <f>O477-N477</f>
        <v/>
      </c>
      <c r="Q477" s="20">
        <f>P477*E477</f>
        <v/>
      </c>
      <c r="R477" s="20" t="n"/>
    </row>
    <row r="478" ht="20" customHeight="1" s="1">
      <c r="A478" s="21" t="inlineStr">
        <is>
          <t>10181</t>
        </is>
      </c>
      <c r="B478" s="22" t="inlineStr">
        <is>
          <t>3DELUXE</t>
        </is>
      </c>
      <c r="C478" s="21" t="inlineStr">
        <is>
          <t>8022033015112</t>
        </is>
      </c>
      <c r="D478" s="22" t="inlineStr">
        <is>
          <t>3Deluxe Professional 100ml 8.1</t>
        </is>
      </c>
      <c r="E478" s="23" t="n">
        <v>5.5</v>
      </c>
      <c r="F478" s="23" t="n">
        <v>72</v>
      </c>
      <c r="G478" s="23" t="n">
        <v>88</v>
      </c>
      <c r="H478" s="23" t="n"/>
      <c r="I478" s="23" t="n"/>
      <c r="J478" s="23" t="n"/>
      <c r="K478" s="19" t="n"/>
      <c r="L478" s="19" t="n"/>
      <c r="M478" s="20" t="n"/>
      <c r="N478" s="20" t="n">
        <v>50</v>
      </c>
      <c r="O478" s="20" t="n"/>
      <c r="P478" s="20">
        <f>O478-N478</f>
        <v/>
      </c>
      <c r="Q478" s="20">
        <f>P478*E478</f>
        <v/>
      </c>
      <c r="R478" s="20" t="n"/>
    </row>
    <row r="479" ht="20" customHeight="1" s="1">
      <c r="A479" s="16" t="inlineStr">
        <is>
          <t>21990</t>
        </is>
      </c>
      <c r="B479" s="17" t="inlineStr">
        <is>
          <t>3DELUXE</t>
        </is>
      </c>
      <c r="C479" s="16" t="inlineStr">
        <is>
          <t>8022033102386</t>
        </is>
      </c>
      <c r="D479" s="17" t="inlineStr">
        <is>
          <t>3Deluxe 100ml 8.11 Light Intense Ash Blonde</t>
        </is>
      </c>
      <c r="E479" s="18" t="n">
        <v>5.5</v>
      </c>
      <c r="F479" s="18" t="n">
        <v>72</v>
      </c>
      <c r="G479" s="18" t="n">
        <v>125</v>
      </c>
      <c r="H479" s="18" t="n"/>
      <c r="I479" s="18" t="n"/>
      <c r="J479" s="18" t="n"/>
      <c r="K479" s="19" t="n"/>
      <c r="L479" s="19" t="n"/>
      <c r="M479" s="20" t="n"/>
      <c r="N479" s="20" t="n">
        <v>50</v>
      </c>
      <c r="O479" s="20" t="n"/>
      <c r="P479" s="20">
        <f>O479-N479</f>
        <v/>
      </c>
      <c r="Q479" s="20">
        <f>P479*E479</f>
        <v/>
      </c>
      <c r="R479" s="20" t="n"/>
    </row>
    <row r="480" ht="20" customHeight="1" s="1">
      <c r="A480" s="21" t="inlineStr">
        <is>
          <t>10954</t>
        </is>
      </c>
      <c r="B480" s="22" t="inlineStr">
        <is>
          <t>3DELUXE</t>
        </is>
      </c>
      <c r="C480" s="21" t="inlineStr">
        <is>
          <t>8022033015181</t>
        </is>
      </c>
      <c r="D480" s="22" t="inlineStr">
        <is>
          <t>3Deluxe Professional 100ml 8.3</t>
        </is>
      </c>
      <c r="E480" s="23" t="n">
        <v>5.5</v>
      </c>
      <c r="F480" s="23" t="n">
        <v>72</v>
      </c>
      <c r="G480" s="23" t="n">
        <v>34</v>
      </c>
      <c r="H480" s="23" t="n"/>
      <c r="I480" s="23" t="n">
        <v>34</v>
      </c>
      <c r="J480" s="23" t="n"/>
      <c r="K480" s="19">
        <f>H480+I480+J480</f>
        <v/>
      </c>
      <c r="L480" s="19">
        <f>K480-G480</f>
        <v/>
      </c>
      <c r="M480" s="20">
        <f>L480*E480</f>
        <v/>
      </c>
      <c r="N480" s="20" t="n">
        <v>50</v>
      </c>
      <c r="O480" s="20" t="n"/>
      <c r="P480" s="20">
        <f>O480-N480</f>
        <v/>
      </c>
      <c r="Q480" s="20">
        <f>P480*E480</f>
        <v/>
      </c>
      <c r="R480" s="20" t="n"/>
    </row>
    <row r="481" ht="20" customHeight="1" s="1">
      <c r="A481" s="16" t="inlineStr">
        <is>
          <t>11299</t>
        </is>
      </c>
      <c r="B481" s="17" t="inlineStr">
        <is>
          <t>3DELUXE</t>
        </is>
      </c>
      <c r="C481" s="16" t="inlineStr">
        <is>
          <t>8022033015549</t>
        </is>
      </c>
      <c r="D481" s="17" t="inlineStr">
        <is>
          <t>3Deluxe Professional 100ml 8.4</t>
        </is>
      </c>
      <c r="E481" s="18" t="n">
        <v>5.5</v>
      </c>
      <c r="F481" s="18" t="n">
        <v>72</v>
      </c>
      <c r="G481" s="18" t="n">
        <v>25</v>
      </c>
      <c r="H481" s="18" t="n"/>
      <c r="I481" s="18" t="n">
        <v>25</v>
      </c>
      <c r="J481" s="18" t="n"/>
      <c r="K481" s="19">
        <f>H481+I481+J481</f>
        <v/>
      </c>
      <c r="L481" s="19">
        <f>K481-G481</f>
        <v/>
      </c>
      <c r="M481" s="20">
        <f>L481*E481</f>
        <v/>
      </c>
      <c r="N481" s="20" t="n">
        <v>50</v>
      </c>
      <c r="O481" s="20" t="n">
        <v>5</v>
      </c>
      <c r="P481" s="20">
        <f>O481-N481</f>
        <v/>
      </c>
      <c r="Q481" s="20">
        <f>P481*E481</f>
        <v/>
      </c>
      <c r="R481" s="20" t="inlineStr">
        <is>
          <t>Orxan</t>
        </is>
      </c>
    </row>
    <row r="482" ht="20" customHeight="1" s="1">
      <c r="A482" s="21" t="inlineStr">
        <is>
          <t>10796</t>
        </is>
      </c>
      <c r="B482" s="22" t="inlineStr">
        <is>
          <t>3DELUXE</t>
        </is>
      </c>
      <c r="C482" s="21" t="inlineStr">
        <is>
          <t>8022033015440</t>
        </is>
      </c>
      <c r="D482" s="22" t="inlineStr">
        <is>
          <t>3Deluxe Professional 100ml 8.66</t>
        </is>
      </c>
      <c r="E482" s="23" t="n">
        <v>5.5</v>
      </c>
      <c r="F482" s="23" t="n">
        <v>72</v>
      </c>
      <c r="G482" s="23" t="n">
        <v>33</v>
      </c>
      <c r="H482" s="23" t="n"/>
      <c r="I482" s="23" t="n">
        <v>33</v>
      </c>
      <c r="J482" s="23" t="n"/>
      <c r="K482" s="19">
        <f>H482+I482+J482</f>
        <v/>
      </c>
      <c r="L482" s="19">
        <f>K482-G482</f>
        <v/>
      </c>
      <c r="M482" s="20">
        <f>L482*E482</f>
        <v/>
      </c>
      <c r="N482" s="20" t="n">
        <v>50</v>
      </c>
      <c r="O482" s="20" t="n"/>
      <c r="P482" s="20">
        <f>O482-N482</f>
        <v/>
      </c>
      <c r="Q482" s="20">
        <f>P482*E482</f>
        <v/>
      </c>
      <c r="R482" s="20" t="n"/>
    </row>
    <row r="483" ht="20" customHeight="1" s="1">
      <c r="A483" s="16" t="inlineStr">
        <is>
          <t>10638</t>
        </is>
      </c>
      <c r="B483" s="17" t="inlineStr">
        <is>
          <t>3DELUXE</t>
        </is>
      </c>
      <c r="C483" s="16" t="inlineStr">
        <is>
          <t>8022033015792</t>
        </is>
      </c>
      <c r="D483" s="17" t="inlineStr">
        <is>
          <t>3Deluxe Professional 100ml 8.8 (8.7)</t>
        </is>
      </c>
      <c r="E483" s="18" t="n">
        <v>5.5</v>
      </c>
      <c r="F483" s="18" t="n">
        <v>72</v>
      </c>
      <c r="G483" s="18" t="n">
        <v>35</v>
      </c>
      <c r="H483" s="18" t="n"/>
      <c r="I483" s="18" t="n">
        <v>35</v>
      </c>
      <c r="J483" s="18" t="n"/>
      <c r="K483" s="19">
        <f>H483+I483+J483</f>
        <v/>
      </c>
      <c r="L483" s="19">
        <f>K483-G483</f>
        <v/>
      </c>
      <c r="M483" s="20">
        <f>L483*E483</f>
        <v/>
      </c>
      <c r="N483" s="20" t="n">
        <v>50</v>
      </c>
      <c r="O483" s="20" t="n"/>
      <c r="P483" s="20">
        <f>O483-N483</f>
        <v/>
      </c>
      <c r="Q483" s="20">
        <f>P483*E483</f>
        <v/>
      </c>
      <c r="R483" s="20" t="n"/>
    </row>
    <row r="484" ht="20" customHeight="1" s="1">
      <c r="A484" s="21" t="inlineStr">
        <is>
          <t>11725</t>
        </is>
      </c>
      <c r="B484" s="22" t="inlineStr">
        <is>
          <t>3DELUXE</t>
        </is>
      </c>
      <c r="C484" s="21" t="inlineStr">
        <is>
          <t>8022033102324</t>
        </is>
      </c>
      <c r="D484" s="22" t="inlineStr">
        <is>
          <t>3Deluxe Professional 100ml 8.12</t>
        </is>
      </c>
      <c r="E484" s="23" t="n">
        <v>5.5</v>
      </c>
      <c r="F484" s="23" t="n">
        <v>72</v>
      </c>
      <c r="G484" s="23" t="n">
        <v>42</v>
      </c>
      <c r="H484" s="23" t="n"/>
      <c r="I484" s="23" t="n">
        <v>42</v>
      </c>
      <c r="J484" s="23" t="n"/>
      <c r="K484" s="19">
        <f>H484+I484+J484</f>
        <v/>
      </c>
      <c r="L484" s="19">
        <f>K484-G484</f>
        <v/>
      </c>
      <c r="M484" s="20">
        <f>L484*E484</f>
        <v/>
      </c>
      <c r="N484" s="20" t="n">
        <v>50</v>
      </c>
      <c r="O484" s="20" t="n"/>
      <c r="P484" s="20">
        <f>O484-N484</f>
        <v/>
      </c>
      <c r="Q484" s="20">
        <f>P484*E484</f>
        <v/>
      </c>
      <c r="R484" s="20" t="n"/>
    </row>
    <row r="485" ht="20" customHeight="1" s="1">
      <c r="A485" s="16" t="inlineStr">
        <is>
          <t>10535</t>
        </is>
      </c>
      <c r="B485" s="17" t="inlineStr">
        <is>
          <t>3DELUXE</t>
        </is>
      </c>
      <c r="C485" s="16" t="inlineStr">
        <is>
          <t>8022033014757</t>
        </is>
      </c>
      <c r="D485" s="17" t="inlineStr">
        <is>
          <t>3Deluxe Professional 100ml 9.00</t>
        </is>
      </c>
      <c r="E485" s="18" t="n">
        <v>5.5</v>
      </c>
      <c r="F485" s="18" t="n">
        <v>72</v>
      </c>
      <c r="G485" s="18" t="n">
        <v>60</v>
      </c>
      <c r="H485" s="18" t="n"/>
      <c r="I485" s="18" t="n">
        <v>60</v>
      </c>
      <c r="J485" s="18" t="n"/>
      <c r="K485" s="19">
        <f>H485+I485+J485</f>
        <v/>
      </c>
      <c r="L485" s="19">
        <f>K485-G485</f>
        <v/>
      </c>
      <c r="M485" s="20">
        <f>L485*E485</f>
        <v/>
      </c>
      <c r="N485" s="20" t="n">
        <v>50</v>
      </c>
      <c r="O485" s="20" t="n"/>
      <c r="P485" s="20">
        <f>O485-N485</f>
        <v/>
      </c>
      <c r="Q485" s="20">
        <f>P485*E485</f>
        <v/>
      </c>
      <c r="R485" s="20" t="n"/>
    </row>
    <row r="486" ht="20" customHeight="1" s="1">
      <c r="A486" s="21" t="inlineStr">
        <is>
          <t>10560</t>
        </is>
      </c>
      <c r="B486" s="22" t="inlineStr">
        <is>
          <t>3DELUXE</t>
        </is>
      </c>
      <c r="C486" s="21" t="inlineStr">
        <is>
          <t>8022033015013</t>
        </is>
      </c>
      <c r="D486" s="22" t="inlineStr">
        <is>
          <t>3Deluxe Professional 100ml 9.0</t>
        </is>
      </c>
      <c r="E486" s="23" t="n">
        <v>5.5</v>
      </c>
      <c r="F486" s="23" t="n">
        <v>72</v>
      </c>
      <c r="G486" s="23" t="n">
        <v>32</v>
      </c>
      <c r="H486" s="23" t="n"/>
      <c r="I486" s="23" t="n">
        <v>32</v>
      </c>
      <c r="J486" s="23" t="n"/>
      <c r="K486" s="19">
        <f>H486+I486+J486</f>
        <v/>
      </c>
      <c r="L486" s="19">
        <f>K486-G486</f>
        <v/>
      </c>
      <c r="M486" s="20">
        <f>L486*E486</f>
        <v/>
      </c>
      <c r="N486" s="20" t="n">
        <v>50</v>
      </c>
      <c r="O486" s="20" t="n"/>
      <c r="P486" s="20">
        <f>O486-N486</f>
        <v/>
      </c>
      <c r="Q486" s="20">
        <f>P486*E486</f>
        <v/>
      </c>
      <c r="R486" s="20" t="n"/>
    </row>
    <row r="487" ht="20" customHeight="1" s="1">
      <c r="A487" s="16" t="inlineStr">
        <is>
          <t>22001</t>
        </is>
      </c>
      <c r="B487" s="17" t="inlineStr">
        <is>
          <t>3DELUXE</t>
        </is>
      </c>
      <c r="C487" s="16" t="inlineStr">
        <is>
          <t>8022033015389</t>
        </is>
      </c>
      <c r="D487" s="17" t="inlineStr">
        <is>
          <t>3Deluxe 100ml 9.02 Very Light Pearl Blonde</t>
        </is>
      </c>
      <c r="E487" s="18" t="n">
        <v>5.5</v>
      </c>
      <c r="F487" s="18" t="n">
        <v>72</v>
      </c>
      <c r="G487" s="18" t="n">
        <v>58</v>
      </c>
      <c r="H487" s="18" t="n"/>
      <c r="I487" s="18" t="n">
        <v>58</v>
      </c>
      <c r="J487" s="18" t="n"/>
      <c r="K487" s="19">
        <f>H487+I487+J487</f>
        <v/>
      </c>
      <c r="L487" s="19">
        <f>K487-G487</f>
        <v/>
      </c>
      <c r="M487" s="20">
        <f>L487*E487</f>
        <v/>
      </c>
      <c r="N487" s="20" t="n">
        <v>50</v>
      </c>
      <c r="O487" s="20" t="n"/>
      <c r="P487" s="20">
        <f>O487-N487</f>
        <v/>
      </c>
      <c r="Q487" s="20">
        <f>P487*E487</f>
        <v/>
      </c>
      <c r="R487" s="20" t="n"/>
    </row>
    <row r="488" ht="20" customHeight="1" s="1">
      <c r="A488" s="21" t="inlineStr">
        <is>
          <t>10797</t>
        </is>
      </c>
      <c r="B488" s="22" t="inlineStr">
        <is>
          <t>3DELUXE</t>
        </is>
      </c>
      <c r="C488" s="21" t="inlineStr">
        <is>
          <t>8022033015747</t>
        </is>
      </c>
      <c r="D488" s="22" t="inlineStr">
        <is>
          <t>3Deluxe Professional 100ml 9.07</t>
        </is>
      </c>
      <c r="E488" s="23" t="n">
        <v>5.5</v>
      </c>
      <c r="F488" s="23" t="n">
        <v>72</v>
      </c>
      <c r="G488" s="23" t="n">
        <v>42</v>
      </c>
      <c r="H488" s="23" t="n"/>
      <c r="I488" s="23" t="n">
        <v>42</v>
      </c>
      <c r="J488" s="23" t="n"/>
      <c r="K488" s="19">
        <f>H488+I488+J488</f>
        <v/>
      </c>
      <c r="L488" s="19">
        <f>K488-G488</f>
        <v/>
      </c>
      <c r="M488" s="20">
        <f>L488*E488</f>
        <v/>
      </c>
      <c r="N488" s="20" t="n">
        <v>50</v>
      </c>
      <c r="O488" s="20" t="n"/>
      <c r="P488" s="20">
        <f>O488-N488</f>
        <v/>
      </c>
      <c r="Q488" s="20">
        <f>P488*E488</f>
        <v/>
      </c>
      <c r="R488" s="20" t="n"/>
    </row>
    <row r="489" ht="20" customHeight="1" s="1">
      <c r="A489" s="16" t="inlineStr">
        <is>
          <t>10360</t>
        </is>
      </c>
      <c r="B489" s="17" t="inlineStr">
        <is>
          <t>3DELUXE</t>
        </is>
      </c>
      <c r="C489" s="16" t="inlineStr">
        <is>
          <t>8022033015105</t>
        </is>
      </c>
      <c r="D489" s="17" t="inlineStr">
        <is>
          <t>3Deluxe Professional 100ml 9.1</t>
        </is>
      </c>
      <c r="E489" s="18" t="n">
        <v>5.5</v>
      </c>
      <c r="F489" s="18" t="n">
        <v>72</v>
      </c>
      <c r="G489" s="18" t="n">
        <v>69</v>
      </c>
      <c r="H489" s="18" t="n"/>
      <c r="I489" s="18" t="n">
        <v>69</v>
      </c>
      <c r="J489" s="18" t="n"/>
      <c r="K489" s="19">
        <f>H489+I489+J489</f>
        <v/>
      </c>
      <c r="L489" s="19">
        <f>K489-G489</f>
        <v/>
      </c>
      <c r="M489" s="20">
        <f>L489*E489</f>
        <v/>
      </c>
      <c r="N489" s="20" t="n">
        <v>50</v>
      </c>
      <c r="O489" s="20" t="n"/>
      <c r="P489" s="20">
        <f>O489-N489</f>
        <v/>
      </c>
      <c r="Q489" s="20">
        <f>P489*E489</f>
        <v/>
      </c>
      <c r="R489" s="20" t="n"/>
    </row>
    <row r="490" ht="20" customHeight="1" s="1">
      <c r="A490" s="21" t="inlineStr">
        <is>
          <t>17443</t>
        </is>
      </c>
      <c r="B490" s="22" t="inlineStr">
        <is>
          <t>3DELUXE</t>
        </is>
      </c>
      <c r="C490" s="21" t="inlineStr">
        <is>
          <t>8022033102379</t>
        </is>
      </c>
      <c r="D490" s="22" t="inlineStr">
        <is>
          <t>3Deluxe Professional 100ml 9.11</t>
        </is>
      </c>
      <c r="E490" s="23" t="n">
        <v>5.5</v>
      </c>
      <c r="F490" s="23" t="n">
        <v>72</v>
      </c>
      <c r="G490" s="23" t="n">
        <v>64</v>
      </c>
      <c r="H490" s="23" t="n"/>
      <c r="I490" s="23" t="n">
        <v>64</v>
      </c>
      <c r="J490" s="23" t="n"/>
      <c r="K490" s="19">
        <f>H490+I490+J490</f>
        <v/>
      </c>
      <c r="L490" s="19">
        <f>K490-G490</f>
        <v/>
      </c>
      <c r="M490" s="20">
        <f>L490*E490</f>
        <v/>
      </c>
      <c r="N490" s="20" t="n">
        <v>50</v>
      </c>
      <c r="O490" s="20" t="n"/>
      <c r="P490" s="20">
        <f>O490-N490</f>
        <v/>
      </c>
      <c r="Q490" s="20">
        <f>P490*E490</f>
        <v/>
      </c>
      <c r="R490" s="20" t="n"/>
    </row>
    <row r="491" ht="20" customHeight="1" s="1">
      <c r="A491" s="16" t="inlineStr">
        <is>
          <t>10896</t>
        </is>
      </c>
      <c r="B491" s="17" t="inlineStr">
        <is>
          <t>3DELUXE</t>
        </is>
      </c>
      <c r="C491" s="16" t="inlineStr">
        <is>
          <t>8022033015396</t>
        </is>
      </c>
      <c r="D491" s="17" t="inlineStr">
        <is>
          <t>3Deluxe Professional 100ml 9.13</t>
        </is>
      </c>
      <c r="E491" s="18" t="n">
        <v>5.5</v>
      </c>
      <c r="F491" s="18" t="n">
        <v>72</v>
      </c>
      <c r="G491" s="18" t="n">
        <v>39</v>
      </c>
      <c r="H491" s="18" t="n"/>
      <c r="I491" s="18" t="n">
        <v>39</v>
      </c>
      <c r="J491" s="18" t="n"/>
      <c r="K491" s="19">
        <f>H491+I491+J491</f>
        <v/>
      </c>
      <c r="L491" s="19">
        <f>K491-G491</f>
        <v/>
      </c>
      <c r="M491" s="20">
        <f>L491*E491</f>
        <v/>
      </c>
      <c r="N491" s="20" t="n">
        <v>50</v>
      </c>
      <c r="O491" s="20" t="n"/>
      <c r="P491" s="20">
        <f>O491-N491</f>
        <v/>
      </c>
      <c r="Q491" s="20">
        <f>P491*E491</f>
        <v/>
      </c>
      <c r="R491" s="20" t="n"/>
    </row>
    <row r="492" ht="20" customHeight="1" s="1">
      <c r="A492" s="21" t="inlineStr">
        <is>
          <t>22025</t>
        </is>
      </c>
      <c r="B492" s="22" t="inlineStr">
        <is>
          <t>3DELUXE</t>
        </is>
      </c>
      <c r="C492" s="21" t="inlineStr">
        <is>
          <t>8022033015518</t>
        </is>
      </c>
      <c r="D492" s="22" t="inlineStr">
        <is>
          <t>3Deluxe 100ml 9.22 Very Light Irisee Rose Blonde</t>
        </is>
      </c>
      <c r="E492" s="23" t="n">
        <v>5.5</v>
      </c>
      <c r="F492" s="23" t="n">
        <v>72</v>
      </c>
      <c r="G492" s="23" t="n">
        <v>42</v>
      </c>
      <c r="H492" s="23" t="n"/>
      <c r="I492" s="23" t="n">
        <v>42</v>
      </c>
      <c r="J492" s="23" t="n"/>
      <c r="K492" s="19">
        <f>H492+I492+J492</f>
        <v/>
      </c>
      <c r="L492" s="19">
        <f>K492-G492</f>
        <v/>
      </c>
      <c r="M492" s="20">
        <f>L492*E492</f>
        <v/>
      </c>
      <c r="N492" s="20" t="n">
        <v>50</v>
      </c>
      <c r="O492" s="20" t="n"/>
      <c r="P492" s="20">
        <f>O492-N492</f>
        <v/>
      </c>
      <c r="Q492" s="20">
        <f>P492*E492</f>
        <v/>
      </c>
      <c r="R492" s="20" t="n"/>
    </row>
    <row r="493" ht="20" customHeight="1" s="1">
      <c r="A493" s="16" t="inlineStr">
        <is>
          <t>10992</t>
        </is>
      </c>
      <c r="B493" s="17" t="inlineStr">
        <is>
          <t>3DELUXE</t>
        </is>
      </c>
      <c r="C493" s="16" t="inlineStr">
        <is>
          <t>8022033015174</t>
        </is>
      </c>
      <c r="D493" s="17" t="inlineStr">
        <is>
          <t>3Deluxe Professional 100ml 9.3</t>
        </is>
      </c>
      <c r="E493" s="18" t="n">
        <v>5.5</v>
      </c>
      <c r="F493" s="18" t="n">
        <v>72</v>
      </c>
      <c r="G493" s="18" t="n">
        <v>47</v>
      </c>
      <c r="H493" s="18" t="n"/>
      <c r="I493" s="18" t="n"/>
      <c r="J493" s="18" t="n"/>
      <c r="K493" s="19" t="n"/>
      <c r="L493" s="19" t="n"/>
      <c r="M493" s="20" t="n"/>
      <c r="N493" s="20" t="n">
        <v>50</v>
      </c>
      <c r="O493" s="20" t="n"/>
      <c r="P493" s="20">
        <f>O493-N493</f>
        <v/>
      </c>
      <c r="Q493" s="20">
        <f>P493*E493</f>
        <v/>
      </c>
      <c r="R493" s="20" t="n"/>
    </row>
    <row r="494" ht="20" customHeight="1" s="1">
      <c r="A494" s="21" t="inlineStr">
        <is>
          <t>11317</t>
        </is>
      </c>
      <c r="B494" s="22" t="inlineStr">
        <is>
          <t>3DELUXE</t>
        </is>
      </c>
      <c r="C494" s="21" t="inlineStr">
        <is>
          <t>8022033015648</t>
        </is>
      </c>
      <c r="D494" s="22" t="inlineStr">
        <is>
          <t>3Deluxe Professional 100ml 900</t>
        </is>
      </c>
      <c r="E494" s="23" t="n">
        <v>5.5</v>
      </c>
      <c r="F494" s="23" t="n">
        <v>72</v>
      </c>
      <c r="G494" s="23" t="n">
        <v>45</v>
      </c>
      <c r="H494" s="23" t="n"/>
      <c r="I494" s="23" t="n">
        <v>45</v>
      </c>
      <c r="J494" s="23" t="n"/>
      <c r="K494" s="19">
        <f>H494+I494+J494</f>
        <v/>
      </c>
      <c r="L494" s="19">
        <f>K494-G494</f>
        <v/>
      </c>
      <c r="M494" s="20">
        <f>L494*E494</f>
        <v/>
      </c>
      <c r="N494" s="20" t="n">
        <v>50</v>
      </c>
      <c r="O494" s="20" t="n"/>
      <c r="P494" s="20">
        <f>O494-N494</f>
        <v/>
      </c>
      <c r="Q494" s="20">
        <f>P494*E494</f>
        <v/>
      </c>
      <c r="R494" s="20" t="n"/>
    </row>
    <row r="495" ht="20" customHeight="1" s="1">
      <c r="A495" s="16" t="inlineStr">
        <is>
          <t>10821</t>
        </is>
      </c>
      <c r="B495" s="17" t="inlineStr">
        <is>
          <t>3DELUXE</t>
        </is>
      </c>
      <c r="C495" s="16" t="inlineStr">
        <is>
          <t>8022033015631</t>
        </is>
      </c>
      <c r="D495" s="17" t="inlineStr">
        <is>
          <t>3Deluxe Professional 100ml 901</t>
        </is>
      </c>
      <c r="E495" s="18" t="n">
        <v>5.5</v>
      </c>
      <c r="F495" s="18" t="n">
        <v>72</v>
      </c>
      <c r="G495" s="18" t="n">
        <v>26</v>
      </c>
      <c r="H495" s="18" t="n"/>
      <c r="I495" s="18" t="n">
        <v>26</v>
      </c>
      <c r="J495" s="18" t="n"/>
      <c r="K495" s="19">
        <f>H495+I495+J495</f>
        <v/>
      </c>
      <c r="L495" s="19">
        <f>K495-G495</f>
        <v/>
      </c>
      <c r="M495" s="20">
        <f>L495*E495</f>
        <v/>
      </c>
      <c r="N495" s="20" t="n">
        <v>50</v>
      </c>
      <c r="O495" s="20" t="n"/>
      <c r="P495" s="20">
        <f>O495-N495</f>
        <v/>
      </c>
      <c r="Q495" s="20">
        <f>P495*E495</f>
        <v/>
      </c>
      <c r="R495" s="20" t="n"/>
    </row>
    <row r="496" ht="20" customHeight="1" s="1">
      <c r="A496" s="21" t="inlineStr">
        <is>
          <t>11040</t>
        </is>
      </c>
      <c r="B496" s="22" t="inlineStr">
        <is>
          <t>3DELUXE</t>
        </is>
      </c>
      <c r="C496" s="21" t="inlineStr">
        <is>
          <t>8022033015624</t>
        </is>
      </c>
      <c r="D496" s="22" t="inlineStr">
        <is>
          <t>3Deluxe Professional 100ml 902</t>
        </is>
      </c>
      <c r="E496" s="23" t="n">
        <v>5.5</v>
      </c>
      <c r="F496" s="23" t="n">
        <v>72</v>
      </c>
      <c r="G496" s="23" t="n">
        <v>28</v>
      </c>
      <c r="H496" s="23" t="n"/>
      <c r="I496" s="23" t="n">
        <v>28</v>
      </c>
      <c r="J496" s="23" t="n"/>
      <c r="K496" s="19">
        <f>H496+I496+J496</f>
        <v/>
      </c>
      <c r="L496" s="19">
        <f>K496-G496</f>
        <v/>
      </c>
      <c r="M496" s="20">
        <f>L496*E496</f>
        <v/>
      </c>
      <c r="N496" s="20" t="n">
        <v>50</v>
      </c>
      <c r="O496" s="20" t="n"/>
      <c r="P496" s="20">
        <f>O496-N496</f>
        <v/>
      </c>
      <c r="Q496" s="20">
        <f>P496*E496</f>
        <v/>
      </c>
      <c r="R496" s="20" t="n"/>
    </row>
    <row r="497" ht="20" customHeight="1" s="1">
      <c r="A497" s="16" t="inlineStr">
        <is>
          <t>10804</t>
        </is>
      </c>
      <c r="B497" s="17" t="inlineStr">
        <is>
          <t>3DELUXE</t>
        </is>
      </c>
      <c r="C497" s="16" t="inlineStr">
        <is>
          <t>8022033015617</t>
        </is>
      </c>
      <c r="D497" s="17" t="inlineStr">
        <is>
          <t>3Deluxe Professional 100ml 903</t>
        </is>
      </c>
      <c r="E497" s="18" t="n">
        <v>5.5</v>
      </c>
      <c r="F497" s="18" t="n">
        <v>72</v>
      </c>
      <c r="G497" s="18" t="n">
        <v>53</v>
      </c>
      <c r="H497" s="18" t="n"/>
      <c r="I497" s="18" t="n">
        <v>53</v>
      </c>
      <c r="J497" s="18" t="n"/>
      <c r="K497" s="19">
        <f>H497+I497+J497</f>
        <v/>
      </c>
      <c r="L497" s="19">
        <f>K497-G497</f>
        <v/>
      </c>
      <c r="M497" s="20">
        <f>L497*E497</f>
        <v/>
      </c>
      <c r="N497" s="20" t="n">
        <v>50</v>
      </c>
      <c r="O497" s="20" t="n"/>
      <c r="P497" s="20">
        <f>O497-N497</f>
        <v/>
      </c>
      <c r="Q497" s="20">
        <f>P497*E497</f>
        <v/>
      </c>
      <c r="R497" s="20" t="n"/>
    </row>
    <row r="498" ht="20" customHeight="1" s="1">
      <c r="A498" s="21" t="inlineStr">
        <is>
          <t>10639</t>
        </is>
      </c>
      <c r="B498" s="22" t="inlineStr">
        <is>
          <t>3DELUXE</t>
        </is>
      </c>
      <c r="C498" s="21" t="inlineStr">
        <is>
          <t>8022033015884</t>
        </is>
      </c>
      <c r="D498" s="22" t="inlineStr">
        <is>
          <t>3Deluxe Professional 100ml 911</t>
        </is>
      </c>
      <c r="E498" s="23" t="n">
        <v>5.5</v>
      </c>
      <c r="F498" s="23" t="n">
        <v>72</v>
      </c>
      <c r="G498" s="23" t="n">
        <v>28</v>
      </c>
      <c r="H498" s="23" t="n"/>
      <c r="I498" s="23" t="n">
        <v>28</v>
      </c>
      <c r="J498" s="23" t="n"/>
      <c r="K498" s="19">
        <f>H498+I498+J498</f>
        <v/>
      </c>
      <c r="L498" s="19">
        <f>K498-G498</f>
        <v/>
      </c>
      <c r="M498" s="20">
        <f>L498*E498</f>
        <v/>
      </c>
      <c r="N498" s="20" t="n">
        <v>50</v>
      </c>
      <c r="O498" s="20" t="n"/>
      <c r="P498" s="20">
        <f>O498-N498</f>
        <v/>
      </c>
      <c r="Q498" s="20">
        <f>P498*E498</f>
        <v/>
      </c>
      <c r="R498" s="20" t="n"/>
    </row>
    <row r="499" ht="20" customHeight="1" s="1">
      <c r="A499" s="16" t="inlineStr">
        <is>
          <t>10929</t>
        </is>
      </c>
      <c r="B499" s="17" t="inlineStr">
        <is>
          <t>3DELUXE</t>
        </is>
      </c>
      <c r="C499" s="16" t="inlineStr">
        <is>
          <t>8022033015600</t>
        </is>
      </c>
      <c r="D499" s="17" t="inlineStr">
        <is>
          <t>3Deluxe Professional 100ml 10.00</t>
        </is>
      </c>
      <c r="E499" s="18" t="n">
        <v>5.5</v>
      </c>
      <c r="F499" s="18" t="n">
        <v>72</v>
      </c>
      <c r="G499" s="18" t="n">
        <v>65</v>
      </c>
      <c r="H499" s="18" t="n"/>
      <c r="I499" s="18" t="n">
        <v>65</v>
      </c>
      <c r="J499" s="18" t="n"/>
      <c r="K499" s="19">
        <f>H499+I499+J499</f>
        <v/>
      </c>
      <c r="L499" s="19">
        <f>K499-G499</f>
        <v/>
      </c>
      <c r="M499" s="20">
        <f>L499*E499</f>
        <v/>
      </c>
      <c r="N499" s="20" t="n">
        <v>50</v>
      </c>
      <c r="O499" s="20" t="n"/>
      <c r="P499" s="20">
        <f>O499-N499</f>
        <v/>
      </c>
      <c r="Q499" s="20">
        <f>P499*E499</f>
        <v/>
      </c>
      <c r="R499" s="20" t="n"/>
    </row>
    <row r="500" ht="20" customHeight="1" s="1">
      <c r="A500" s="21" t="inlineStr">
        <is>
          <t>10799</t>
        </is>
      </c>
      <c r="B500" s="22" t="inlineStr">
        <is>
          <t>3DELUXE</t>
        </is>
      </c>
      <c r="C500" s="21" t="inlineStr">
        <is>
          <t>8022033015006</t>
        </is>
      </c>
      <c r="D500" s="22" t="inlineStr">
        <is>
          <t>3Deluxe Professional 100ml 10.0</t>
        </is>
      </c>
      <c r="E500" s="23" t="n">
        <v>5.5</v>
      </c>
      <c r="F500" s="23" t="n">
        <v>72</v>
      </c>
      <c r="G500" s="23" t="n">
        <v>138</v>
      </c>
      <c r="H500" s="23" t="n"/>
      <c r="I500" s="23" t="n"/>
      <c r="J500" s="23" t="n"/>
      <c r="K500" s="19" t="n"/>
      <c r="L500" s="19" t="n"/>
      <c r="M500" s="20" t="n"/>
      <c r="N500" s="20" t="n">
        <v>50</v>
      </c>
      <c r="O500" s="20" t="n"/>
      <c r="P500" s="20">
        <f>O500-N500</f>
        <v/>
      </c>
      <c r="Q500" s="20">
        <f>P500*E500</f>
        <v/>
      </c>
      <c r="R500" s="20" t="n"/>
    </row>
    <row r="501" ht="20" customHeight="1" s="1">
      <c r="A501" s="16" t="inlineStr">
        <is>
          <t>11183</t>
        </is>
      </c>
      <c r="B501" s="17" t="inlineStr">
        <is>
          <t>3DELUXE</t>
        </is>
      </c>
      <c r="C501" s="16" t="inlineStr">
        <is>
          <t>8022033015372</t>
        </is>
      </c>
      <c r="D501" s="17" t="inlineStr">
        <is>
          <t>3Deluxe Professional 100ml 10.02</t>
        </is>
      </c>
      <c r="E501" s="18" t="n">
        <v>5.5</v>
      </c>
      <c r="F501" s="18" t="n">
        <v>72</v>
      </c>
      <c r="G501" s="18" t="n">
        <v>66</v>
      </c>
      <c r="H501" s="18" t="n"/>
      <c r="I501" s="18" t="n">
        <v>66</v>
      </c>
      <c r="J501" s="18" t="n"/>
      <c r="K501" s="19">
        <f>H501+I501+J501</f>
        <v/>
      </c>
      <c r="L501" s="19">
        <f>K501-G501</f>
        <v/>
      </c>
      <c r="M501" s="20">
        <f>L501*E501</f>
        <v/>
      </c>
      <c r="N501" s="20" t="n">
        <v>50</v>
      </c>
      <c r="O501" s="20" t="n"/>
      <c r="P501" s="20">
        <f>O501-N501</f>
        <v/>
      </c>
      <c r="Q501" s="20">
        <f>P501*E501</f>
        <v/>
      </c>
      <c r="R501" s="20" t="n"/>
    </row>
    <row r="502" ht="20" customHeight="1" s="1">
      <c r="A502" s="21" t="inlineStr">
        <is>
          <t>22031</t>
        </is>
      </c>
      <c r="B502" s="22" t="inlineStr">
        <is>
          <t>3DELUXE</t>
        </is>
      </c>
      <c r="C502" s="21" t="inlineStr">
        <is>
          <t>8022033015099</t>
        </is>
      </c>
      <c r="D502" s="22" t="inlineStr">
        <is>
          <t>3Deluxe 100ml 10.1 Platinum Ash Blonde</t>
        </is>
      </c>
      <c r="E502" s="23" t="n">
        <v>5.5</v>
      </c>
      <c r="F502" s="23" t="n">
        <v>72</v>
      </c>
      <c r="G502" s="23" t="n">
        <v>75</v>
      </c>
      <c r="H502" s="23" t="n"/>
      <c r="I502" s="23" t="n">
        <v>75</v>
      </c>
      <c r="J502" s="23" t="n"/>
      <c r="K502" s="19">
        <f>H502+I502+J502</f>
        <v/>
      </c>
      <c r="L502" s="19">
        <f>K502-G502</f>
        <v/>
      </c>
      <c r="M502" s="20">
        <f>L502*E502</f>
        <v/>
      </c>
      <c r="N502" s="20" t="n">
        <v>50</v>
      </c>
      <c r="O502" s="20" t="n"/>
      <c r="P502" s="20">
        <f>O502-N502</f>
        <v/>
      </c>
      <c r="Q502" s="20">
        <f>P502*E502</f>
        <v/>
      </c>
      <c r="R502" s="20" t="n"/>
    </row>
    <row r="503" ht="20" customHeight="1" s="1">
      <c r="A503" s="16" t="inlineStr">
        <is>
          <t>21994</t>
        </is>
      </c>
      <c r="B503" s="17" t="inlineStr">
        <is>
          <t>3DELUXE</t>
        </is>
      </c>
      <c r="C503" s="16" t="inlineStr">
        <is>
          <t>8022033102294</t>
        </is>
      </c>
      <c r="D503" s="17" t="inlineStr">
        <is>
          <t>3Deluxe 100ml 10.11 Platinum Intense Ash Blonde</t>
        </is>
      </c>
      <c r="E503" s="18" t="n">
        <v>5.5</v>
      </c>
      <c r="F503" s="18" t="n">
        <v>72</v>
      </c>
      <c r="G503" s="18" t="n">
        <v>66</v>
      </c>
      <c r="H503" s="18" t="n"/>
      <c r="I503" s="18" t="n">
        <v>66</v>
      </c>
      <c r="J503" s="18" t="n"/>
      <c r="K503" s="19">
        <f>H503+I503+J503</f>
        <v/>
      </c>
      <c r="L503" s="19">
        <f>K503-G503</f>
        <v/>
      </c>
      <c r="M503" s="20">
        <f>L503*E503</f>
        <v/>
      </c>
      <c r="N503" s="20" t="n">
        <v>50</v>
      </c>
      <c r="O503" s="20" t="n"/>
      <c r="P503" s="20">
        <f>O503-N503</f>
        <v/>
      </c>
      <c r="Q503" s="20">
        <f>P503*E503</f>
        <v/>
      </c>
      <c r="R503" s="20" t="n"/>
    </row>
    <row r="504" ht="20" customHeight="1" s="1">
      <c r="A504" s="21" t="inlineStr">
        <is>
          <t>11020</t>
        </is>
      </c>
      <c r="B504" s="22" t="inlineStr">
        <is>
          <t>3DELUXE</t>
        </is>
      </c>
      <c r="C504" s="21" t="inlineStr">
        <is>
          <t>8022033102348</t>
        </is>
      </c>
      <c r="D504" s="22" t="inlineStr">
        <is>
          <t>3Deluxe Professional 100ml 10.21</t>
        </is>
      </c>
      <c r="E504" s="23" t="n">
        <v>5.5</v>
      </c>
      <c r="F504" s="23" t="n">
        <v>72</v>
      </c>
      <c r="G504" s="23" t="n">
        <v>45</v>
      </c>
      <c r="H504" s="23" t="n"/>
      <c r="I504" s="23" t="n">
        <v>45</v>
      </c>
      <c r="J504" s="23" t="n"/>
      <c r="K504" s="19">
        <f>H504+I504+J504</f>
        <v/>
      </c>
      <c r="L504" s="19">
        <f>K504-G504</f>
        <v/>
      </c>
      <c r="M504" s="20">
        <f>L504*E504</f>
        <v/>
      </c>
      <c r="N504" s="20" t="n">
        <v>50</v>
      </c>
      <c r="O504" s="20" t="n"/>
      <c r="P504" s="20">
        <f>O504-N504</f>
        <v/>
      </c>
      <c r="Q504" s="20">
        <f>P504*E504</f>
        <v/>
      </c>
      <c r="R504" s="20" t="n"/>
    </row>
    <row r="505" ht="20" customHeight="1" s="1">
      <c r="A505" s="16" t="inlineStr">
        <is>
          <t>10006</t>
        </is>
      </c>
      <c r="B505" s="17" t="inlineStr">
        <is>
          <t>3DELUXE</t>
        </is>
      </c>
      <c r="C505" s="16" t="inlineStr">
        <is>
          <t>8022033005991</t>
        </is>
      </c>
      <c r="D505" s="17" t="inlineStr">
        <is>
          <t>3Deluxe Cream Developer 20vol 100ml</t>
        </is>
      </c>
      <c r="E505" s="18" t="n">
        <v>1.5</v>
      </c>
      <c r="F505" s="18" t="n">
        <v>72</v>
      </c>
      <c r="G505" s="18" t="n">
        <v>1148</v>
      </c>
      <c r="H505" s="18" t="n"/>
      <c r="I505" s="18" t="n">
        <v>1148</v>
      </c>
      <c r="J505" s="18" t="n"/>
      <c r="K505" s="19">
        <f>H505+I505+J505</f>
        <v/>
      </c>
      <c r="L505" s="19">
        <f>K505-G505</f>
        <v/>
      </c>
      <c r="M505" s="20">
        <f>L505*E505</f>
        <v/>
      </c>
      <c r="N505" s="20" t="n">
        <v>50</v>
      </c>
      <c r="O505" s="20" t="n"/>
      <c r="P505" s="20">
        <f>O505-N505</f>
        <v/>
      </c>
      <c r="Q505" s="20">
        <f>P505*E505</f>
        <v/>
      </c>
      <c r="R505" s="20" t="n"/>
    </row>
    <row r="506" ht="20" customHeight="1" s="1">
      <c r="A506" s="21" t="inlineStr">
        <is>
          <t>21995</t>
        </is>
      </c>
      <c r="B506" s="22" t="inlineStr">
        <is>
          <t>3DELUXE</t>
        </is>
      </c>
      <c r="C506" s="21" t="inlineStr">
        <is>
          <t>8022033005977</t>
        </is>
      </c>
      <c r="D506" s="22" t="inlineStr">
        <is>
          <t>3Deluxe Cream Developer 30vol 100ml</t>
        </is>
      </c>
      <c r="E506" s="23" t="n">
        <v>1.5</v>
      </c>
      <c r="F506" s="23" t="n">
        <v>72</v>
      </c>
      <c r="G506" s="23" t="n">
        <v>887</v>
      </c>
      <c r="H506" s="23" t="n"/>
      <c r="I506" s="23" t="n"/>
      <c r="J506" s="23" t="n"/>
      <c r="K506" s="19" t="n"/>
      <c r="L506" s="19" t="n"/>
      <c r="M506" s="20" t="n"/>
      <c r="N506" s="20" t="n">
        <v>50</v>
      </c>
      <c r="O506" s="20" t="n"/>
      <c r="P506" s="20">
        <f>O506-N506</f>
        <v/>
      </c>
      <c r="Q506" s="20">
        <f>P506*E506</f>
        <v/>
      </c>
      <c r="R506" s="20" t="n"/>
    </row>
    <row r="507" ht="20" customHeight="1" s="1">
      <c r="A507" s="16" t="inlineStr">
        <is>
          <t>21996</t>
        </is>
      </c>
      <c r="B507" s="17" t="inlineStr">
        <is>
          <t>3DELUXE</t>
        </is>
      </c>
      <c r="C507" s="16" t="inlineStr">
        <is>
          <t>8022033005892</t>
        </is>
      </c>
      <c r="D507" s="17" t="inlineStr">
        <is>
          <t>3DELUXE CR DEVELOPER 20 V 1 L (BOYUK)</t>
        </is>
      </c>
      <c r="E507" s="18" t="n">
        <v>6.5</v>
      </c>
      <c r="F507" s="18" t="n">
        <v>12</v>
      </c>
      <c r="G507" s="18" t="n">
        <v>33</v>
      </c>
      <c r="H507" s="18" t="n"/>
      <c r="I507" s="18" t="n">
        <v>33</v>
      </c>
      <c r="J507" s="18" t="n"/>
      <c r="K507" s="19">
        <f>H507+I507+J507</f>
        <v/>
      </c>
      <c r="L507" s="19">
        <f>K507-G507</f>
        <v/>
      </c>
      <c r="M507" s="20">
        <f>L507*E507</f>
        <v/>
      </c>
      <c r="N507" s="20" t="n">
        <v>50</v>
      </c>
      <c r="O507" s="20" t="n"/>
      <c r="P507" s="20">
        <f>O507-N507</f>
        <v/>
      </c>
      <c r="Q507" s="20">
        <f>P507*E507</f>
        <v/>
      </c>
      <c r="R507" s="20" t="n"/>
    </row>
    <row r="508" ht="20" customHeight="1" s="1">
      <c r="A508" s="21" t="inlineStr">
        <is>
          <t>10714</t>
        </is>
      </c>
      <c r="B508" s="22" t="inlineStr">
        <is>
          <t>3DELUXE</t>
        </is>
      </c>
      <c r="C508" s="21" t="inlineStr">
        <is>
          <t>8022033005908</t>
        </is>
      </c>
      <c r="D508" s="22" t="inlineStr">
        <is>
          <t>3DELUXE CR DEVELOPER 30 V 1 L (BOYUK)</t>
        </is>
      </c>
      <c r="E508" s="23" t="n">
        <v>6.5</v>
      </c>
      <c r="F508" s="23" t="n">
        <v>12</v>
      </c>
      <c r="G508" s="23" t="n">
        <v>80</v>
      </c>
      <c r="H508" s="23" t="n"/>
      <c r="I508" s="23" t="n">
        <v>80</v>
      </c>
      <c r="J508" s="23" t="n"/>
      <c r="K508" s="19">
        <f>H508+I508+J508</f>
        <v/>
      </c>
      <c r="L508" s="19">
        <f>K508-G508</f>
        <v/>
      </c>
      <c r="M508" s="20">
        <f>L508*E508</f>
        <v/>
      </c>
      <c r="N508" s="20" t="n">
        <v>50</v>
      </c>
      <c r="O508" s="20" t="n"/>
      <c r="P508" s="20">
        <f>O508-N508</f>
        <v/>
      </c>
      <c r="Q508" s="20">
        <f>P508*E508</f>
        <v/>
      </c>
      <c r="R508" s="20" t="n"/>
    </row>
    <row r="509" ht="20" customHeight="1" s="1">
      <c r="A509" s="16" t="inlineStr">
        <is>
          <t>11612</t>
        </is>
      </c>
      <c r="B509" s="17" t="inlineStr">
        <is>
          <t>3DELUXE</t>
        </is>
      </c>
      <c r="C509" s="16" t="inlineStr">
        <is>
          <t>8022033005915</t>
        </is>
      </c>
      <c r="D509" s="17" t="inlineStr">
        <is>
          <t>3DELUXE CR DEVELOPER 40 V 1 L (BOYUK)</t>
        </is>
      </c>
      <c r="E509" s="18" t="n">
        <v>6.5</v>
      </c>
      <c r="F509" s="18" t="n">
        <v>12</v>
      </c>
      <c r="G509" s="18" t="n">
        <v>20</v>
      </c>
      <c r="H509" s="18" t="n"/>
      <c r="I509" s="18" t="n">
        <v>20</v>
      </c>
      <c r="J509" s="18" t="n"/>
      <c r="K509" s="19">
        <f>H509+I509+J509</f>
        <v/>
      </c>
      <c r="L509" s="19">
        <f>K509-G509</f>
        <v/>
      </c>
      <c r="M509" s="20">
        <f>L509*E509</f>
        <v/>
      </c>
      <c r="N509" s="20" t="n">
        <v>50</v>
      </c>
      <c r="O509" s="20" t="n"/>
      <c r="P509" s="20">
        <f>O509-N509</f>
        <v/>
      </c>
      <c r="Q509" s="20">
        <f>P509*E509</f>
        <v/>
      </c>
      <c r="R509" s="20" t="n"/>
    </row>
    <row r="510" ht="20" customHeight="1" s="1">
      <c r="A510" s="21" t="inlineStr">
        <is>
          <t>11005</t>
        </is>
      </c>
      <c r="B510" s="22" t="inlineStr">
        <is>
          <t>3DELUXE</t>
        </is>
      </c>
      <c r="C510" s="21" t="inlineStr">
        <is>
          <t>8022033005953</t>
        </is>
      </c>
      <c r="D510" s="22" t="inlineStr">
        <is>
          <t>3Deluxe Bleaching powder blue bag 500gr</t>
        </is>
      </c>
      <c r="E510" s="23" t="n">
        <v>18</v>
      </c>
      <c r="F510" s="23" t="n">
        <v>30</v>
      </c>
      <c r="G510" s="23" t="n">
        <v>22</v>
      </c>
      <c r="H510" s="23" t="n"/>
      <c r="I510" s="23" t="n">
        <v>22</v>
      </c>
      <c r="J510" s="23" t="n"/>
      <c r="K510" s="19">
        <f>H510+I510+J510</f>
        <v/>
      </c>
      <c r="L510" s="19">
        <f>K510-G510</f>
        <v/>
      </c>
      <c r="M510" s="20">
        <f>L510*E510</f>
        <v/>
      </c>
      <c r="N510" s="20" t="n">
        <v>50</v>
      </c>
      <c r="O510" s="20" t="n"/>
      <c r="P510" s="20">
        <f>O510-N510</f>
        <v/>
      </c>
      <c r="Q510" s="20">
        <f>P510*E510</f>
        <v/>
      </c>
      <c r="R510" s="20" t="n"/>
    </row>
    <row r="511" ht="20" customHeight="1" s="1">
      <c r="A511" s="16" t="inlineStr">
        <is>
          <t>16024</t>
        </is>
      </c>
      <c r="B511" s="17" t="inlineStr">
        <is>
          <t>3DELUXE</t>
        </is>
      </c>
      <c r="C511" s="16" t="n"/>
      <c r="D511" s="17" t="inlineStr">
        <is>
          <t>3Deluxe Professional Kataloq</t>
        </is>
      </c>
      <c r="E511" s="18" t="n">
        <v>0</v>
      </c>
      <c r="F511" s="18" t="n">
        <v>1</v>
      </c>
      <c r="G511" s="18" t="n">
        <v>10</v>
      </c>
      <c r="H511" s="18" t="n"/>
      <c r="I511" s="18" t="n">
        <v>10</v>
      </c>
      <c r="J511" s="18" t="n"/>
      <c r="K511" s="19">
        <f>H511+I511+J511</f>
        <v/>
      </c>
      <c r="L511" s="19">
        <f>K511-G511</f>
        <v/>
      </c>
      <c r="M511" s="20">
        <f>L511*E511</f>
        <v/>
      </c>
      <c r="N511" s="20" t="n">
        <v>50</v>
      </c>
      <c r="O511" s="20" t="n"/>
      <c r="P511" s="20" t="n"/>
      <c r="Q511" s="20" t="n"/>
      <c r="R511" s="20" t="n"/>
    </row>
    <row r="512" ht="20" customHeight="1" s="1">
      <c r="A512" s="21" t="inlineStr">
        <is>
          <t>17584</t>
        </is>
      </c>
      <c r="B512" s="22" t="inlineStr">
        <is>
          <t>Natura Siberika</t>
        </is>
      </c>
      <c r="C512" s="21" t="inlineStr">
        <is>
          <t>4680007219559</t>
        </is>
      </c>
      <c r="D512" s="22" t="inlineStr">
        <is>
          <t>N/S Organic Kitc Bombo d/vanni Aroma Met 115q</t>
        </is>
      </c>
      <c r="E512" s="23" t="n">
        <v>4.8</v>
      </c>
      <c r="F512" s="23" t="n">
        <v>15</v>
      </c>
      <c r="G512" s="23" t="n">
        <v>0</v>
      </c>
      <c r="H512" s="23" t="n"/>
      <c r="I512" s="23" t="n"/>
      <c r="J512" s="23" t="n"/>
      <c r="K512" s="19">
        <f>H512+I512+J512</f>
        <v/>
      </c>
      <c r="L512" s="19">
        <f>K512-G512</f>
        <v/>
      </c>
      <c r="M512" s="20">
        <f>L512*E512</f>
        <v/>
      </c>
      <c r="N512" s="20" t="n">
        <v>50</v>
      </c>
      <c r="O512" s="20" t="n"/>
      <c r="P512" s="20">
        <f>O512-N512</f>
        <v/>
      </c>
      <c r="Q512" s="20">
        <f>P512*E512</f>
        <v/>
      </c>
      <c r="R512" s="20" t="n"/>
    </row>
    <row r="513" ht="20" customHeight="1" s="1">
      <c r="A513" s="16" t="inlineStr">
        <is>
          <t>18541</t>
        </is>
      </c>
      <c r="B513" s="17" t="inlineStr">
        <is>
          <t>Natura Siberika</t>
        </is>
      </c>
      <c r="C513" s="16" t="inlineStr">
        <is>
          <t>4630079566662</t>
        </is>
      </c>
      <c r="D513" s="17" t="inlineStr">
        <is>
          <t>N/S LAB Biome Sivorotka d/lica Super uvlajnya 30ml</t>
        </is>
      </c>
      <c r="E513" s="18" t="n">
        <v>11.5</v>
      </c>
      <c r="F513" s="18" t="n">
        <v>8</v>
      </c>
      <c r="G513" s="18" t="n">
        <v>0</v>
      </c>
      <c r="H513" s="18" t="n"/>
      <c r="I513" s="18" t="n"/>
      <c r="J513" s="18" t="n"/>
      <c r="K513" s="19">
        <f>H513+I513+J513</f>
        <v/>
      </c>
      <c r="L513" s="19">
        <f>K513-G513</f>
        <v/>
      </c>
      <c r="M513" s="20">
        <f>L513*E513</f>
        <v/>
      </c>
      <c r="N513" s="20" t="n">
        <v>50</v>
      </c>
      <c r="O513" s="20" t="n"/>
      <c r="P513" s="20">
        <f>O513-N513</f>
        <v/>
      </c>
      <c r="Q513" s="20">
        <f>P513*E513</f>
        <v/>
      </c>
      <c r="R513" s="20" t="n"/>
    </row>
    <row r="514" ht="20" customHeight="1" s="1">
      <c r="A514" s="21" t="inlineStr">
        <is>
          <t>18542</t>
        </is>
      </c>
      <c r="B514" s="22" t="inlineStr">
        <is>
          <t>Natura Siberika</t>
        </is>
      </c>
      <c r="C514" s="21" t="inlineStr">
        <is>
          <t>4630079566631</t>
        </is>
      </c>
      <c r="D514" s="22" t="inlineStr">
        <is>
          <t>N/S LAB Biome Oleo sivorotka d/lica vasstanav 30ml</t>
        </is>
      </c>
      <c r="E514" s="23" t="n">
        <v>11</v>
      </c>
      <c r="F514" s="23" t="n">
        <v>8</v>
      </c>
      <c r="G514" s="23" t="n">
        <v>0</v>
      </c>
      <c r="H514" s="23" t="n"/>
      <c r="I514" s="23" t="n"/>
      <c r="J514" s="23" t="n"/>
      <c r="K514" s="19">
        <f>H514+I514+J514</f>
        <v/>
      </c>
      <c r="L514" s="19">
        <f>K514-G514</f>
        <v/>
      </c>
      <c r="M514" s="20">
        <f>L514*E514</f>
        <v/>
      </c>
      <c r="N514" s="20" t="n">
        <v>50</v>
      </c>
      <c r="O514" s="20" t="n"/>
      <c r="P514" s="20">
        <f>O514-N514</f>
        <v/>
      </c>
      <c r="Q514" s="20">
        <f>P514*E514</f>
        <v/>
      </c>
      <c r="R514" s="20" t="n"/>
    </row>
    <row r="515" ht="20" customHeight="1" s="1">
      <c r="A515" s="16" t="inlineStr">
        <is>
          <t>18545</t>
        </is>
      </c>
      <c r="B515" s="17" t="inlineStr">
        <is>
          <t>Natura Siberika</t>
        </is>
      </c>
      <c r="C515" s="16" t="inlineStr">
        <is>
          <t>4630079566648</t>
        </is>
      </c>
      <c r="D515" s="17" t="inlineStr">
        <is>
          <t>N/S LAB Biome Sivorotka d/lica Seborequliruyu 30ml</t>
        </is>
      </c>
      <c r="E515" s="18" t="n">
        <v>11</v>
      </c>
      <c r="F515" s="18" t="n">
        <v>8</v>
      </c>
      <c r="G515" s="18" t="n">
        <v>0</v>
      </c>
      <c r="H515" s="18" t="n"/>
      <c r="I515" s="18" t="n"/>
      <c r="J515" s="18" t="n"/>
      <c r="K515" s="19">
        <f>H515+I515+J515</f>
        <v/>
      </c>
      <c r="L515" s="19">
        <f>K515-G515</f>
        <v/>
      </c>
      <c r="M515" s="20">
        <f>L515*E515</f>
        <v/>
      </c>
      <c r="N515" s="20" t="n">
        <v>50</v>
      </c>
      <c r="O515" s="20" t="n"/>
      <c r="P515" s="20">
        <f>O515-N515</f>
        <v/>
      </c>
      <c r="Q515" s="20">
        <f>P515*E515</f>
        <v/>
      </c>
      <c r="R515" s="20" t="n"/>
    </row>
    <row r="516" ht="20" customHeight="1" s="1">
      <c r="A516" s="21" t="inlineStr">
        <is>
          <t>18328</t>
        </is>
      </c>
      <c r="B516" s="22" t="inlineStr">
        <is>
          <t>Natura Siberika</t>
        </is>
      </c>
      <c r="C516" s="21" t="inlineStr">
        <is>
          <t>4680038359286</t>
        </is>
      </c>
      <c r="D516" s="22" t="inlineStr">
        <is>
          <t>N/S Oblepikha C-Berrica Ocis qel d/umivaniya 150ml</t>
        </is>
      </c>
      <c r="E516" s="23" t="n">
        <v>11</v>
      </c>
      <c r="F516" s="23" t="n">
        <v>10</v>
      </c>
      <c r="G516" s="23" t="n">
        <v>0</v>
      </c>
      <c r="H516" s="23" t="n"/>
      <c r="I516" s="23" t="n"/>
      <c r="J516" s="23" t="n"/>
      <c r="K516" s="19">
        <f>H516+I516+J516</f>
        <v/>
      </c>
      <c r="L516" s="19">
        <f>K516-G516</f>
        <v/>
      </c>
      <c r="M516" s="20">
        <f>L516*E516</f>
        <v/>
      </c>
      <c r="N516" s="20" t="n">
        <v>50</v>
      </c>
      <c r="O516" s="20" t="n"/>
      <c r="P516" s="20">
        <f>O516-N516</f>
        <v/>
      </c>
      <c r="Q516" s="20">
        <f>P516*E516</f>
        <v/>
      </c>
      <c r="R516" s="20" t="n"/>
    </row>
    <row r="517" ht="20" customHeight="1" s="1">
      <c r="A517" s="16" t="inlineStr">
        <is>
          <t>18307</t>
        </is>
      </c>
      <c r="B517" s="17" t="inlineStr">
        <is>
          <t>Natura Siberika</t>
        </is>
      </c>
      <c r="C517" s="16" t="inlineStr">
        <is>
          <t>4680038359385</t>
        </is>
      </c>
      <c r="D517" s="17" t="inlineStr">
        <is>
          <t>N/S Oblepikha C-Berrica Pilinq maska d/lisa  150ml</t>
        </is>
      </c>
      <c r="E517" s="18" t="n">
        <v>11</v>
      </c>
      <c r="F517" s="18" t="n">
        <v>10</v>
      </c>
      <c r="G517" s="18" t="n">
        <v>0</v>
      </c>
      <c r="H517" s="18" t="n"/>
      <c r="I517" s="18" t="n"/>
      <c r="J517" s="18" t="n"/>
      <c r="K517" s="19">
        <f>H517+I517+J517</f>
        <v/>
      </c>
      <c r="L517" s="19">
        <f>K517-G517</f>
        <v/>
      </c>
      <c r="M517" s="20">
        <f>L517*E517</f>
        <v/>
      </c>
      <c r="N517" s="20" t="n">
        <v>50</v>
      </c>
      <c r="O517" s="20" t="n"/>
      <c r="P517" s="20">
        <f>O517-N517</f>
        <v/>
      </c>
      <c r="Q517" s="20">
        <f>P517*E517</f>
        <v/>
      </c>
      <c r="R517" s="20" t="n"/>
    </row>
    <row r="518" ht="20" customHeight="1" s="1">
      <c r="A518" s="21" t="inlineStr">
        <is>
          <t>18311</t>
        </is>
      </c>
      <c r="B518" s="22" t="inlineStr">
        <is>
          <t>Natura Siberika</t>
        </is>
      </c>
      <c r="C518" s="21" t="inlineStr">
        <is>
          <t>4680038359248</t>
        </is>
      </c>
      <c r="D518" s="22" t="inlineStr">
        <is>
          <t>N/S Oblepikha C-Berrica Sivorot d/lica antio 30ml</t>
        </is>
      </c>
      <c r="E518" s="23" t="n">
        <v>11</v>
      </c>
      <c r="F518" s="23" t="n">
        <v>8</v>
      </c>
      <c r="G518" s="23" t="n">
        <v>0</v>
      </c>
      <c r="H518" s="23" t="n"/>
      <c r="I518" s="23" t="n"/>
      <c r="J518" s="23" t="n"/>
      <c r="K518" s="19">
        <f>H518+I518+J518</f>
        <v/>
      </c>
      <c r="L518" s="19">
        <f>K518-G518</f>
        <v/>
      </c>
      <c r="M518" s="20">
        <f>L518*E518</f>
        <v/>
      </c>
      <c r="N518" s="20" t="n">
        <v>50</v>
      </c>
      <c r="O518" s="20" t="n"/>
      <c r="P518" s="20">
        <f>O518-N518</f>
        <v/>
      </c>
      <c r="Q518" s="20">
        <f>P518*E518</f>
        <v/>
      </c>
      <c r="R518" s="20" t="n"/>
    </row>
    <row r="519" ht="20" customHeight="1" s="1">
      <c r="A519" s="16" t="inlineStr">
        <is>
          <t>13123</t>
        </is>
      </c>
      <c r="B519" s="17" t="inlineStr">
        <is>
          <t>Natura Siberika</t>
        </is>
      </c>
      <c r="C519" s="16" t="inlineStr">
        <is>
          <t>4607174430839</t>
        </is>
      </c>
      <c r="D519" s="17" t="inlineStr">
        <is>
          <t>N/S Nejniy plinq dlya lisa maq obnav koja 150 ml</t>
        </is>
      </c>
      <c r="E519" s="18" t="n">
        <v>9.6</v>
      </c>
      <c r="F519" s="18" t="n">
        <v>8</v>
      </c>
      <c r="G519" s="18" t="n">
        <v>0</v>
      </c>
      <c r="H519" s="18" t="n"/>
      <c r="I519" s="18" t="n"/>
      <c r="J519" s="18" t="n"/>
      <c r="K519" s="19">
        <f>H519+I519+J519</f>
        <v/>
      </c>
      <c r="L519" s="19">
        <f>K519-G519</f>
        <v/>
      </c>
      <c r="M519" s="20">
        <f>L519*E519</f>
        <v/>
      </c>
      <c r="N519" s="20" t="n">
        <v>50</v>
      </c>
      <c r="O519" s="20" t="n"/>
      <c r="P519" s="20">
        <f>O519-N519</f>
        <v/>
      </c>
      <c r="Q519" s="20">
        <f>P519*E519</f>
        <v/>
      </c>
      <c r="R519" s="20" t="n"/>
    </row>
    <row r="520" ht="20" customHeight="1" s="1">
      <c r="A520" s="21" t="inlineStr">
        <is>
          <t>16950</t>
        </is>
      </c>
      <c r="B520" s="22" t="inlineStr">
        <is>
          <t>Natura Siberika</t>
        </is>
      </c>
      <c r="C520" s="21" t="inlineStr">
        <is>
          <t>4680038358173</t>
        </is>
      </c>
      <c r="D520" s="22" t="inlineStr">
        <is>
          <t>N/S Doctor Taiga balzam Bio zasi okrasen vol 400ml</t>
        </is>
      </c>
      <c r="E520" s="23" t="n">
        <v>6.2</v>
      </c>
      <c r="F520" s="23" t="n">
        <v>6</v>
      </c>
      <c r="G520" s="23" t="n">
        <v>0</v>
      </c>
      <c r="H520" s="23" t="n"/>
      <c r="I520" s="23" t="n"/>
      <c r="J520" s="23" t="n"/>
      <c r="K520" s="19">
        <f>H520+I520+J520</f>
        <v/>
      </c>
      <c r="L520" s="19">
        <f>K520-G520</f>
        <v/>
      </c>
      <c r="M520" s="20">
        <f>L520*E520</f>
        <v/>
      </c>
      <c r="N520" s="20" t="n">
        <v>50</v>
      </c>
      <c r="O520" s="20" t="n"/>
      <c r="P520" s="20">
        <f>O520-N520</f>
        <v/>
      </c>
      <c r="Q520" s="20">
        <f>P520*E520</f>
        <v/>
      </c>
      <c r="R520" s="20" t="n"/>
    </row>
    <row r="521" ht="20" customHeight="1" s="1">
      <c r="A521" s="16" t="inlineStr">
        <is>
          <t>16958</t>
        </is>
      </c>
      <c r="B521" s="17" t="inlineStr">
        <is>
          <t>Natura Siberika</t>
        </is>
      </c>
      <c r="C521" s="16" t="inlineStr">
        <is>
          <t>4680038358098</t>
        </is>
      </c>
      <c r="D521" s="17" t="inlineStr">
        <is>
          <t>N/S Doctor Taiga Sampun Bio uvla d/sux vol 400ml</t>
        </is>
      </c>
      <c r="E521" s="18" t="n">
        <v>6.2</v>
      </c>
      <c r="F521" s="18" t="n">
        <v>6</v>
      </c>
      <c r="G521" s="18" t="n">
        <v>0</v>
      </c>
      <c r="H521" s="18" t="n"/>
      <c r="I521" s="18" t="n"/>
      <c r="J521" s="18" t="n"/>
      <c r="K521" s="19">
        <f>H521+I521+J521</f>
        <v/>
      </c>
      <c r="L521" s="19">
        <f>K521-G521</f>
        <v/>
      </c>
      <c r="M521" s="20">
        <f>L521*E521</f>
        <v/>
      </c>
      <c r="N521" s="20" t="n">
        <v>50</v>
      </c>
      <c r="O521" s="20" t="n"/>
      <c r="P521" s="20">
        <f>O521-N521</f>
        <v/>
      </c>
      <c r="Q521" s="20">
        <f>P521*E521</f>
        <v/>
      </c>
      <c r="R521" s="20" t="n"/>
    </row>
    <row r="522" ht="20" customHeight="1" s="1">
      <c r="A522" s="21" t="inlineStr">
        <is>
          <t>16959</t>
        </is>
      </c>
      <c r="B522" s="22" t="inlineStr">
        <is>
          <t>Natura Siberika</t>
        </is>
      </c>
      <c r="C522" s="21" t="inlineStr">
        <is>
          <t>4680038358074</t>
        </is>
      </c>
      <c r="D522" s="22" t="inlineStr">
        <is>
          <t>N/S Doctor Taiga Sampun Bio Ukrep pr vip vol 400ml</t>
        </is>
      </c>
      <c r="E522" s="23" t="n">
        <v>6.2</v>
      </c>
      <c r="F522" s="23" t="n">
        <v>6</v>
      </c>
      <c r="G522" s="23" t="n">
        <v>0</v>
      </c>
      <c r="H522" s="23" t="n"/>
      <c r="I522" s="23" t="n"/>
      <c r="J522" s="23" t="n"/>
      <c r="K522" s="19">
        <f>H522+I522+J522</f>
        <v/>
      </c>
      <c r="L522" s="19">
        <f>K522-G522</f>
        <v/>
      </c>
      <c r="M522" s="20">
        <f>L522*E522</f>
        <v/>
      </c>
      <c r="N522" s="20" t="n">
        <v>50</v>
      </c>
      <c r="O522" s="20" t="n"/>
      <c r="P522" s="20">
        <f>O522-N522</f>
        <v/>
      </c>
      <c r="Q522" s="20">
        <f>P522*E522</f>
        <v/>
      </c>
      <c r="R522" s="20" t="n"/>
    </row>
    <row r="523" ht="20" customHeight="1" s="1">
      <c r="A523" s="16" t="inlineStr">
        <is>
          <t>16957</t>
        </is>
      </c>
      <c r="B523" s="17" t="inlineStr">
        <is>
          <t>Natura Siberika</t>
        </is>
      </c>
      <c r="C523" s="16" t="inlineStr">
        <is>
          <t>4680038358050</t>
        </is>
      </c>
      <c r="D523" s="17" t="inlineStr">
        <is>
          <t>N/S Doctor Taiga Sampun Bio osvej i obe vol 400ml</t>
        </is>
      </c>
      <c r="E523" s="18" t="n">
        <v>6.2</v>
      </c>
      <c r="F523" s="18" t="n">
        <v>6</v>
      </c>
      <c r="G523" s="18" t="n">
        <v>0</v>
      </c>
      <c r="H523" s="18" t="n"/>
      <c r="I523" s="18" t="n"/>
      <c r="J523" s="18" t="n"/>
      <c r="K523" s="19">
        <f>H523+I523+J523</f>
        <v/>
      </c>
      <c r="L523" s="19">
        <f>K523-G523</f>
        <v/>
      </c>
      <c r="M523" s="20">
        <f>L523*E523</f>
        <v/>
      </c>
      <c r="N523" s="20" t="n">
        <v>50</v>
      </c>
      <c r="O523" s="20" t="n"/>
      <c r="P523" s="20">
        <f>O523-N523</f>
        <v/>
      </c>
      <c r="Q523" s="20">
        <f>P523*E523</f>
        <v/>
      </c>
      <c r="R523" s="20" t="n"/>
    </row>
    <row r="524" ht="20" customHeight="1" s="1">
      <c r="A524" s="21" t="inlineStr">
        <is>
          <t>16269</t>
        </is>
      </c>
      <c r="B524" s="22" t="inlineStr">
        <is>
          <t>Natura Siberika</t>
        </is>
      </c>
      <c r="C524" s="21" t="inlineStr">
        <is>
          <t>4607174432574</t>
        </is>
      </c>
      <c r="D524" s="22" t="inlineStr">
        <is>
          <t>N/S Oblepixoviy Skrab d/koji qolovi d/vs/vol 200ml</t>
        </is>
      </c>
      <c r="E524" s="23" t="n">
        <v>9.199999999999999</v>
      </c>
      <c r="F524" s="23" t="n">
        <v>8</v>
      </c>
      <c r="G524" s="23" t="n">
        <v>0</v>
      </c>
      <c r="H524" s="23" t="n"/>
      <c r="I524" s="23" t="n"/>
      <c r="J524" s="23" t="n"/>
      <c r="K524" s="19">
        <f>H524+I524+J524</f>
        <v/>
      </c>
      <c r="L524" s="19">
        <f>K524-G524</f>
        <v/>
      </c>
      <c r="M524" s="20">
        <f>L524*E524</f>
        <v/>
      </c>
      <c r="N524" s="20" t="n">
        <v>50</v>
      </c>
      <c r="O524" s="20" t="n"/>
      <c r="P524" s="20">
        <f>O524-N524</f>
        <v/>
      </c>
      <c r="Q524" s="20">
        <f>P524*E524</f>
        <v/>
      </c>
      <c r="R524" s="20" t="n"/>
    </row>
    <row r="525" ht="20" customHeight="1" s="1">
      <c r="A525" s="16" t="inlineStr">
        <is>
          <t>13523</t>
        </is>
      </c>
      <c r="B525" s="17" t="inlineStr">
        <is>
          <t>Natura Siberika</t>
        </is>
      </c>
      <c r="C525" s="16" t="inlineStr">
        <is>
          <t>4607174432369</t>
        </is>
      </c>
      <c r="D525" s="17" t="inlineStr">
        <is>
          <t>N/S Ob.Siberi Oblepixa balzam d/osl vol 400 ml</t>
        </is>
      </c>
      <c r="E525" s="18" t="n">
        <v>9.5</v>
      </c>
      <c r="F525" s="18" t="n">
        <v>6</v>
      </c>
      <c r="G525" s="18" t="n">
        <v>0</v>
      </c>
      <c r="H525" s="18" t="n"/>
      <c r="I525" s="18" t="n"/>
      <c r="J525" s="18" t="n"/>
      <c r="K525" s="19">
        <f>H525+I525+J525</f>
        <v/>
      </c>
      <c r="L525" s="19">
        <f>K525-G525</f>
        <v/>
      </c>
      <c r="M525" s="20">
        <f>L525*E525</f>
        <v/>
      </c>
      <c r="N525" s="20" t="n">
        <v>50</v>
      </c>
      <c r="O525" s="20" t="n"/>
      <c r="P525" s="20">
        <f>O525-N525</f>
        <v/>
      </c>
      <c r="Q525" s="20">
        <f>P525*E525</f>
        <v/>
      </c>
      <c r="R525" s="20" t="n"/>
    </row>
    <row r="526" ht="20" customHeight="1" s="1">
      <c r="A526" s="21" t="inlineStr">
        <is>
          <t>21376</t>
        </is>
      </c>
      <c r="B526" s="22" t="inlineStr">
        <is>
          <t>Natura Siberika</t>
        </is>
      </c>
      <c r="C526" s="21" t="inlineStr">
        <is>
          <t>4630121103357</t>
        </is>
      </c>
      <c r="D526" s="22" t="inlineStr">
        <is>
          <t>N/S Оblepixoviy Sampun kandis 2v1 ot perxot 400ml</t>
        </is>
      </c>
      <c r="E526" s="23" t="n">
        <v>9.5</v>
      </c>
      <c r="F526" s="23" t="n">
        <v>6</v>
      </c>
      <c r="G526" s="23" t="n">
        <v>0</v>
      </c>
      <c r="H526" s="23" t="n"/>
      <c r="I526" s="23" t="n"/>
      <c r="J526" s="23" t="n"/>
      <c r="K526" s="19">
        <f>H526+I526+J526</f>
        <v/>
      </c>
      <c r="L526" s="19">
        <f>K526-G526</f>
        <v/>
      </c>
      <c r="M526" s="20">
        <f>L526*E526</f>
        <v/>
      </c>
      <c r="N526" s="20" t="n">
        <v>50</v>
      </c>
      <c r="O526" s="20" t="n"/>
      <c r="P526" s="20">
        <f>O526-N526</f>
        <v/>
      </c>
      <c r="Q526" s="20">
        <f>P526*E526</f>
        <v/>
      </c>
      <c r="R526" s="20" t="n"/>
    </row>
    <row r="527" ht="20" customHeight="1" s="1">
      <c r="A527" s="16" t="inlineStr">
        <is>
          <t>21375</t>
        </is>
      </c>
      <c r="B527" s="17" t="inlineStr">
        <is>
          <t>Natura Siberika</t>
        </is>
      </c>
      <c r="C527" s="16" t="inlineStr">
        <is>
          <t>4630121103463</t>
        </is>
      </c>
      <c r="D527" s="17" t="inlineStr">
        <is>
          <t>N/S Оblepixoviy Sampun d/oslablennix volos 400ml</t>
        </is>
      </c>
      <c r="E527" s="18" t="n">
        <v>9.5</v>
      </c>
      <c r="F527" s="18" t="n">
        <v>6</v>
      </c>
      <c r="G527" s="18" t="n">
        <v>0</v>
      </c>
      <c r="H527" s="18" t="n"/>
      <c r="I527" s="18" t="n"/>
      <c r="J527" s="18" t="n"/>
      <c r="K527" s="19">
        <f>H527+I527+J527</f>
        <v/>
      </c>
      <c r="L527" s="19">
        <f>K527-G527</f>
        <v/>
      </c>
      <c r="M527" s="20">
        <f>L527*E527</f>
        <v/>
      </c>
      <c r="N527" s="20" t="n">
        <v>50</v>
      </c>
      <c r="O527" s="20" t="n"/>
      <c r="P527" s="20">
        <f>O527-N527</f>
        <v/>
      </c>
      <c r="Q527" s="20">
        <f>P527*E527</f>
        <v/>
      </c>
      <c r="R527" s="20" t="n"/>
    </row>
    <row r="528" ht="20" customHeight="1" s="1">
      <c r="A528" s="21" t="inlineStr">
        <is>
          <t>13248</t>
        </is>
      </c>
      <c r="B528" s="22" t="inlineStr">
        <is>
          <t>Natura Siberika</t>
        </is>
      </c>
      <c r="C528" s="21" t="inlineStr">
        <is>
          <t>4607174432345</t>
        </is>
      </c>
      <c r="D528" s="22" t="inlineStr">
        <is>
          <t>N/S Ob.Siberi Oblepixa sampun d/vsex vol 400 ml</t>
        </is>
      </c>
      <c r="E528" s="23" t="n">
        <v>9.5</v>
      </c>
      <c r="F528" s="23" t="n">
        <v>6</v>
      </c>
      <c r="G528" s="23" t="n">
        <v>0</v>
      </c>
      <c r="H528" s="23" t="n"/>
      <c r="I528" s="23" t="n"/>
      <c r="J528" s="23" t="n"/>
      <c r="K528" s="19">
        <f>H528+I528+J528</f>
        <v/>
      </c>
      <c r="L528" s="19">
        <f>K528-G528</f>
        <v/>
      </c>
      <c r="M528" s="20">
        <f>L528*E528</f>
        <v/>
      </c>
      <c r="N528" s="20" t="n">
        <v>50</v>
      </c>
      <c r="O528" s="20" t="n"/>
      <c r="P528" s="20">
        <f>O528-N528</f>
        <v/>
      </c>
      <c r="Q528" s="20">
        <f>P528*E528</f>
        <v/>
      </c>
      <c r="R528" s="20" t="n"/>
    </row>
    <row r="529" ht="20" customHeight="1" s="1">
      <c r="A529" s="16" t="inlineStr">
        <is>
          <t>13124</t>
        </is>
      </c>
      <c r="B529" s="17" t="inlineStr">
        <is>
          <t>Natura Siberika</t>
        </is>
      </c>
      <c r="C529" s="16" t="inlineStr">
        <is>
          <t>4607174432321</t>
        </is>
      </c>
      <c r="D529" s="17" t="inlineStr">
        <is>
          <t>N/S Ob.Siberi Oblepixa sampun d/osl vol 400 ml</t>
        </is>
      </c>
      <c r="E529" s="18" t="n">
        <v>9.5</v>
      </c>
      <c r="F529" s="18" t="n">
        <v>6</v>
      </c>
      <c r="G529" s="18" t="n">
        <v>0</v>
      </c>
      <c r="H529" s="18" t="n"/>
      <c r="I529" s="18" t="n"/>
      <c r="J529" s="18" t="n"/>
      <c r="K529" s="19">
        <f>H529+I529+J529</f>
        <v/>
      </c>
      <c r="L529" s="19">
        <f>K529-G529</f>
        <v/>
      </c>
      <c r="M529" s="20">
        <f>L529*E529</f>
        <v/>
      </c>
      <c r="N529" s="20" t="n">
        <v>50</v>
      </c>
      <c r="O529" s="20" t="n"/>
      <c r="P529" s="20">
        <f>O529-N529</f>
        <v/>
      </c>
      <c r="Q529" s="20">
        <f>P529*E529</f>
        <v/>
      </c>
      <c r="R529" s="20" t="n"/>
    </row>
    <row r="530" ht="20" customHeight="1" s="1">
      <c r="A530" s="21" t="inlineStr">
        <is>
          <t>13382</t>
        </is>
      </c>
      <c r="B530" s="22" t="inlineStr">
        <is>
          <t>Natura Siberika</t>
        </is>
      </c>
      <c r="C530" s="21" t="inlineStr">
        <is>
          <t>4607174432352</t>
        </is>
      </c>
      <c r="D530" s="22" t="inlineStr">
        <is>
          <t>N/S Ob.Siberi Oblepixa sampun d/nor/jir vol 400 ml</t>
        </is>
      </c>
      <c r="E530" s="23" t="n">
        <v>9.5</v>
      </c>
      <c r="F530" s="23" t="n">
        <v>6</v>
      </c>
      <c r="G530" s="23" t="n">
        <v>0</v>
      </c>
      <c r="H530" s="23" t="n"/>
      <c r="I530" s="23" t="n"/>
      <c r="J530" s="23" t="n"/>
      <c r="K530" s="19">
        <f>H530+I530+J530</f>
        <v/>
      </c>
      <c r="L530" s="19">
        <f>K530-G530</f>
        <v/>
      </c>
      <c r="M530" s="20">
        <f>L530*E530</f>
        <v/>
      </c>
      <c r="N530" s="20" t="n">
        <v>50</v>
      </c>
      <c r="O530" s="20" t="n"/>
      <c r="P530" s="20">
        <f>O530-N530</f>
        <v/>
      </c>
      <c r="Q530" s="20">
        <f>P530*E530</f>
        <v/>
      </c>
      <c r="R530" s="20" t="n"/>
    </row>
    <row r="531" ht="20" customHeight="1" s="1">
      <c r="A531" s="16" t="inlineStr">
        <is>
          <t>12965</t>
        </is>
      </c>
      <c r="B531" s="17" t="inlineStr">
        <is>
          <t>Natura Siberika</t>
        </is>
      </c>
      <c r="C531" s="16" t="inlineStr">
        <is>
          <t>4607174434400</t>
        </is>
      </c>
      <c r="D531" s="17" t="inlineStr">
        <is>
          <t>N/S Sampun Oblepixoviy d/povr.vol Doy-Paki 500 ml</t>
        </is>
      </c>
      <c r="E531" s="18" t="n">
        <v>7</v>
      </c>
      <c r="F531" s="18" t="n">
        <v>12</v>
      </c>
      <c r="G531" s="18" t="n">
        <v>0</v>
      </c>
      <c r="H531" s="18" t="n"/>
      <c r="I531" s="18" t="n"/>
      <c r="J531" s="18" t="n"/>
      <c r="K531" s="19">
        <f>H531+I531+J531</f>
        <v/>
      </c>
      <c r="L531" s="19">
        <f>K531-G531</f>
        <v/>
      </c>
      <c r="M531" s="20">
        <f>L531*E531</f>
        <v/>
      </c>
      <c r="N531" s="20" t="n">
        <v>50</v>
      </c>
      <c r="O531" s="20" t="n"/>
      <c r="P531" s="20">
        <f>O531-N531</f>
        <v/>
      </c>
      <c r="Q531" s="20">
        <f>P531*E531</f>
        <v/>
      </c>
      <c r="R531" s="20" t="n"/>
    </row>
    <row r="532" ht="20" customHeight="1" s="1">
      <c r="A532" s="21" t="inlineStr">
        <is>
          <t>12815</t>
        </is>
      </c>
      <c r="B532" s="22" t="inlineStr">
        <is>
          <t>Natura Siberika</t>
        </is>
      </c>
      <c r="C532" s="21" t="inlineStr">
        <is>
          <t>4607174434394</t>
        </is>
      </c>
      <c r="D532" s="22" t="inlineStr">
        <is>
          <t>N/S Sampun Oblepixoviy d/norm vol Doy-Paki 500 ml</t>
        </is>
      </c>
      <c r="E532" s="23" t="n">
        <v>7</v>
      </c>
      <c r="F532" s="23" t="n">
        <v>12</v>
      </c>
      <c r="G532" s="23" t="n">
        <v>0</v>
      </c>
      <c r="H532" s="23" t="n"/>
      <c r="I532" s="23" t="n"/>
      <c r="J532" s="23" t="n"/>
      <c r="K532" s="19">
        <f>H532+I532+J532</f>
        <v/>
      </c>
      <c r="L532" s="19">
        <f>K532-G532</f>
        <v/>
      </c>
      <c r="M532" s="20">
        <f>L532*E532</f>
        <v/>
      </c>
      <c r="N532" s="20" t="n">
        <v>50</v>
      </c>
      <c r="O532" s="20" t="n"/>
      <c r="P532" s="20">
        <f>O532-N532</f>
        <v/>
      </c>
      <c r="Q532" s="20">
        <f>P532*E532</f>
        <v/>
      </c>
      <c r="R532" s="20" t="n"/>
    </row>
    <row r="533" ht="20" customHeight="1" s="1">
      <c r="A533" s="16" t="inlineStr">
        <is>
          <t>16149</t>
        </is>
      </c>
      <c r="B533" s="17" t="inlineStr">
        <is>
          <t>Natura Siberika</t>
        </is>
      </c>
      <c r="C533" s="16" t="inlineStr">
        <is>
          <t>4680038354137</t>
        </is>
      </c>
      <c r="D533" s="17" t="inlineStr">
        <is>
          <t>N/S Qel d/dusa Vitamini d/koja 400 ml</t>
        </is>
      </c>
      <c r="E533" s="18" t="n">
        <v>9.550000000000001</v>
      </c>
      <c r="F533" s="18" t="n">
        <v>6</v>
      </c>
      <c r="G533" s="18" t="n">
        <v>0</v>
      </c>
      <c r="H533" s="18" t="n"/>
      <c r="I533" s="18" t="n"/>
      <c r="J533" s="18" t="n"/>
      <c r="K533" s="19">
        <f>H533+I533+J533</f>
        <v/>
      </c>
      <c r="L533" s="19">
        <f>K533-G533</f>
        <v/>
      </c>
      <c r="M533" s="20">
        <f>L533*E533</f>
        <v/>
      </c>
      <c r="N533" s="20" t="n">
        <v>50</v>
      </c>
      <c r="O533" s="20" t="n"/>
      <c r="P533" s="20">
        <f>O533-N533</f>
        <v/>
      </c>
      <c r="Q533" s="20">
        <f>P533*E533</f>
        <v/>
      </c>
      <c r="R533" s="20" t="n"/>
    </row>
    <row r="534" ht="20" customHeight="1" s="1">
      <c r="A534" s="21" t="inlineStr">
        <is>
          <t>16148</t>
        </is>
      </c>
      <c r="B534" s="22" t="inlineStr">
        <is>
          <t>Natura Siberika</t>
        </is>
      </c>
      <c r="C534" s="21" t="inlineStr">
        <is>
          <t>4680038354168</t>
        </is>
      </c>
      <c r="D534" s="22" t="inlineStr">
        <is>
          <t>N/S Qel d/dusa Tonus i upruqost 400 ml</t>
        </is>
      </c>
      <c r="E534" s="23" t="n">
        <v>7.94</v>
      </c>
      <c r="F534" s="23" t="n">
        <v>6</v>
      </c>
      <c r="G534" s="23" t="n">
        <v>0</v>
      </c>
      <c r="H534" s="23" t="n"/>
      <c r="I534" s="23" t="n"/>
      <c r="J534" s="23" t="n"/>
      <c r="K534" s="19">
        <f>H534+I534+J534</f>
        <v/>
      </c>
      <c r="L534" s="19">
        <f>K534-G534</f>
        <v/>
      </c>
      <c r="M534" s="20">
        <f>L534*E534</f>
        <v/>
      </c>
      <c r="N534" s="20" t="n">
        <v>50</v>
      </c>
      <c r="O534" s="20" t="n"/>
      <c r="P534" s="20">
        <f>O534-N534</f>
        <v/>
      </c>
      <c r="Q534" s="20">
        <f>P534*E534</f>
        <v/>
      </c>
      <c r="R534" s="20" t="n"/>
    </row>
    <row r="535" ht="20" customHeight="1" s="1">
      <c r="A535" s="16" t="inlineStr">
        <is>
          <t>16945</t>
        </is>
      </c>
      <c r="B535" s="17" t="inlineStr">
        <is>
          <t>Natura Siberika</t>
        </is>
      </c>
      <c r="C535" s="16" t="inlineStr">
        <is>
          <t>4680038356605</t>
        </is>
      </c>
      <c r="D535" s="17" t="inlineStr">
        <is>
          <t>N/S Balzam Anti-stress d/vsex tipov volos 400ml</t>
        </is>
      </c>
      <c r="E535" s="18" t="n">
        <v>12.55</v>
      </c>
      <c r="F535" s="18" t="n">
        <v>6</v>
      </c>
      <c r="G535" s="18" t="n">
        <v>0</v>
      </c>
      <c r="H535" s="18" t="n"/>
      <c r="I535" s="18" t="n"/>
      <c r="J535" s="18" t="n"/>
      <c r="K535" s="19">
        <f>H535+I535+J535</f>
        <v/>
      </c>
      <c r="L535" s="19">
        <f>K535-G535</f>
        <v/>
      </c>
      <c r="M535" s="20">
        <f>L535*E535</f>
        <v/>
      </c>
      <c r="N535" s="20" t="n">
        <v>50</v>
      </c>
      <c r="O535" s="20" t="n"/>
      <c r="P535" s="20">
        <f>O535-N535</f>
        <v/>
      </c>
      <c r="Q535" s="20">
        <f>P535*E535</f>
        <v/>
      </c>
      <c r="R535" s="20" t="n"/>
    </row>
    <row r="536" ht="20" customHeight="1" s="1">
      <c r="A536" s="21" t="inlineStr">
        <is>
          <t>13453</t>
        </is>
      </c>
      <c r="B536" s="22" t="inlineStr">
        <is>
          <t>Natura Siberika</t>
        </is>
      </c>
      <c r="C536" s="21" t="inlineStr">
        <is>
          <t>4607174430563</t>
        </is>
      </c>
      <c r="D536" s="22" t="inlineStr">
        <is>
          <t>N/S Balzam d/osl volos Zasita i enerqiya 400 ml</t>
        </is>
      </c>
      <c r="E536" s="23" t="n">
        <v>10.9</v>
      </c>
      <c r="F536" s="23" t="n">
        <v>6</v>
      </c>
      <c r="G536" s="23" t="n">
        <v>0</v>
      </c>
      <c r="H536" s="23" t="n"/>
      <c r="I536" s="23" t="n"/>
      <c r="J536" s="23" t="n"/>
      <c r="K536" s="19">
        <f>H536+I536+J536</f>
        <v/>
      </c>
      <c r="L536" s="19">
        <f>K536-G536</f>
        <v/>
      </c>
      <c r="M536" s="20">
        <f>L536*E536</f>
        <v/>
      </c>
      <c r="N536" s="20" t="n">
        <v>50</v>
      </c>
      <c r="O536" s="20" t="n"/>
      <c r="P536" s="20">
        <f>O536-N536</f>
        <v/>
      </c>
      <c r="Q536" s="20">
        <f>P536*E536</f>
        <v/>
      </c>
      <c r="R536" s="20" t="n"/>
    </row>
    <row r="537" ht="20" customHeight="1" s="1">
      <c r="A537" s="16" t="inlineStr">
        <is>
          <t>13380</t>
        </is>
      </c>
      <c r="B537" s="17" t="inlineStr">
        <is>
          <t>Natura Siberika</t>
        </is>
      </c>
      <c r="C537" s="16" t="inlineStr">
        <is>
          <t>4607174430549</t>
        </is>
      </c>
      <c r="D537" s="17" t="inlineStr">
        <is>
          <t>N/S Balzam d/okrasen volos Zasita i blesk 400 ml</t>
        </is>
      </c>
      <c r="E537" s="18" t="n">
        <v>10.9</v>
      </c>
      <c r="F537" s="18" t="n">
        <v>6</v>
      </c>
      <c r="G537" s="18" t="n">
        <v>0</v>
      </c>
      <c r="H537" s="18" t="n"/>
      <c r="I537" s="18" t="n"/>
      <c r="J537" s="18" t="n"/>
      <c r="K537" s="19">
        <f>H537+I537+J537</f>
        <v/>
      </c>
      <c r="L537" s="19">
        <f>K537-G537</f>
        <v/>
      </c>
      <c r="M537" s="20">
        <f>L537*E537</f>
        <v/>
      </c>
      <c r="N537" s="20" t="n">
        <v>50</v>
      </c>
      <c r="O537" s="20" t="n"/>
      <c r="P537" s="20">
        <f>O537-N537</f>
        <v/>
      </c>
      <c r="Q537" s="20">
        <f>P537*E537</f>
        <v/>
      </c>
      <c r="R537" s="20" t="n"/>
    </row>
    <row r="538" ht="20" customHeight="1" s="1">
      <c r="A538" s="21" t="inlineStr">
        <is>
          <t>14534</t>
        </is>
      </c>
      <c r="B538" s="22" t="inlineStr">
        <is>
          <t>Natura Siberika</t>
        </is>
      </c>
      <c r="C538" s="21" t="inlineStr">
        <is>
          <t>4607174430525</t>
        </is>
      </c>
      <c r="D538" s="22" t="inlineStr">
        <is>
          <t>N/S Balzam d/vsex volos Obem i uxod 400 ml</t>
        </is>
      </c>
      <c r="E538" s="23" t="n">
        <v>10.9</v>
      </c>
      <c r="F538" s="23" t="n">
        <v>6</v>
      </c>
      <c r="G538" s="23" t="n">
        <v>0</v>
      </c>
      <c r="H538" s="23" t="n"/>
      <c r="I538" s="23" t="n"/>
      <c r="J538" s="23" t="n"/>
      <c r="K538" s="19">
        <f>H538+I538+J538</f>
        <v/>
      </c>
      <c r="L538" s="19">
        <f>K538-G538</f>
        <v/>
      </c>
      <c r="M538" s="20">
        <f>L538*E538</f>
        <v/>
      </c>
      <c r="N538" s="20" t="n">
        <v>50</v>
      </c>
      <c r="O538" s="20" t="n"/>
      <c r="P538" s="20">
        <f>O538-N538</f>
        <v/>
      </c>
      <c r="Q538" s="20">
        <f>P538*E538</f>
        <v/>
      </c>
      <c r="R538" s="20" t="n"/>
    </row>
    <row r="539" ht="20" customHeight="1" s="1">
      <c r="A539" s="16" t="inlineStr">
        <is>
          <t>16962</t>
        </is>
      </c>
      <c r="B539" s="17" t="inlineStr">
        <is>
          <t>Natura Siberika</t>
        </is>
      </c>
      <c r="C539" s="16" t="inlineStr">
        <is>
          <t>4680038356568</t>
        </is>
      </c>
      <c r="D539" s="17" t="inlineStr">
        <is>
          <t>N/S Hudrolat Samp d/sux i lomkix volos 400ml</t>
        </is>
      </c>
      <c r="E539" s="18" t="n">
        <v>12.6</v>
      </c>
      <c r="F539" s="18" t="n">
        <v>6</v>
      </c>
      <c r="G539" s="18" t="n">
        <v>0</v>
      </c>
      <c r="H539" s="18" t="n"/>
      <c r="I539" s="18" t="n"/>
      <c r="J539" s="18" t="n"/>
      <c r="K539" s="19">
        <f>H539+I539+J539</f>
        <v/>
      </c>
      <c r="L539" s="19">
        <f>K539-G539</f>
        <v/>
      </c>
      <c r="M539" s="20">
        <f>L539*E539</f>
        <v/>
      </c>
      <c r="N539" s="20" t="n">
        <v>50</v>
      </c>
      <c r="O539" s="20" t="n"/>
      <c r="P539" s="20">
        <f>O539-N539</f>
        <v/>
      </c>
      <c r="Q539" s="20">
        <f>P539*E539</f>
        <v/>
      </c>
      <c r="R539" s="20" t="n"/>
    </row>
    <row r="540" ht="20" customHeight="1" s="1">
      <c r="A540" s="21" t="inlineStr">
        <is>
          <t>17230</t>
        </is>
      </c>
      <c r="B540" s="22" t="inlineStr">
        <is>
          <t>Natura Siberika</t>
        </is>
      </c>
      <c r="C540" s="21" t="inlineStr">
        <is>
          <t>4680038353826</t>
        </is>
      </c>
      <c r="D540" s="22" t="inlineStr">
        <is>
          <t>N/S Oil-plex samp d/okras i povrejd vol 400ml</t>
        </is>
      </c>
      <c r="E540" s="23" t="n">
        <v>12.3</v>
      </c>
      <c r="F540" s="23" t="n">
        <v>6</v>
      </c>
      <c r="G540" s="23" t="n">
        <v>0</v>
      </c>
      <c r="H540" s="23" t="n"/>
      <c r="I540" s="23" t="n"/>
      <c r="J540" s="23" t="n"/>
      <c r="K540" s="19">
        <f>H540+I540+J540</f>
        <v/>
      </c>
      <c r="L540" s="19">
        <f>K540-G540</f>
        <v/>
      </c>
      <c r="M540" s="20">
        <f>L540*E540</f>
        <v/>
      </c>
      <c r="N540" s="20" t="n">
        <v>50</v>
      </c>
      <c r="O540" s="20" t="n"/>
      <c r="P540" s="20">
        <f>O540-N540</f>
        <v/>
      </c>
      <c r="Q540" s="20">
        <f>P540*E540</f>
        <v/>
      </c>
      <c r="R540" s="20" t="n"/>
    </row>
    <row r="541" ht="20" customHeight="1" s="1">
      <c r="A541" s="16" t="inlineStr">
        <is>
          <t>13131</t>
        </is>
      </c>
      <c r="B541" s="17" t="inlineStr">
        <is>
          <t>Natura Siberika</t>
        </is>
      </c>
      <c r="C541" s="16" t="inlineStr">
        <is>
          <t>4607174430433</t>
        </is>
      </c>
      <c r="D541" s="17" t="inlineStr">
        <is>
          <t>N/S Sampun d/sux vol Obem i uvlajnenie 400 ml</t>
        </is>
      </c>
      <c r="E541" s="18" t="n">
        <v>10.8</v>
      </c>
      <c r="F541" s="18" t="n">
        <v>6</v>
      </c>
      <c r="G541" s="18" t="n">
        <v>0</v>
      </c>
      <c r="H541" s="18" t="n"/>
      <c r="I541" s="18" t="n"/>
      <c r="J541" s="18" t="n"/>
      <c r="K541" s="19">
        <f>H541+I541+J541</f>
        <v/>
      </c>
      <c r="L541" s="19">
        <f>K541-G541</f>
        <v/>
      </c>
      <c r="M541" s="20">
        <f>L541*E541</f>
        <v/>
      </c>
      <c r="N541" s="20" t="n">
        <v>50</v>
      </c>
      <c r="O541" s="20" t="n"/>
      <c r="P541" s="20">
        <f>O541-N541</f>
        <v/>
      </c>
      <c r="Q541" s="20">
        <f>P541*E541</f>
        <v/>
      </c>
      <c r="R541" s="20" t="n"/>
    </row>
    <row r="542" ht="20" customHeight="1" s="1">
      <c r="A542" s="21" t="inlineStr">
        <is>
          <t>13882</t>
        </is>
      </c>
      <c r="B542" s="22" t="inlineStr">
        <is>
          <t>Natura Siberika</t>
        </is>
      </c>
      <c r="C542" s="21" t="inlineStr">
        <is>
          <t>4607174430426</t>
        </is>
      </c>
      <c r="D542" s="22" t="inlineStr">
        <is>
          <t>N/S Sampun d/vsex vol Obem i uxod 400 ml</t>
        </is>
      </c>
      <c r="E542" s="23" t="n">
        <v>10.9</v>
      </c>
      <c r="F542" s="23" t="n">
        <v>6</v>
      </c>
      <c r="G542" s="23" t="n">
        <v>0</v>
      </c>
      <c r="H542" s="23" t="n"/>
      <c r="I542" s="23" t="n"/>
      <c r="J542" s="23" t="n"/>
      <c r="K542" s="19">
        <f>H542+I542+J542</f>
        <v/>
      </c>
      <c r="L542" s="19">
        <f>K542-G542</f>
        <v/>
      </c>
      <c r="M542" s="20">
        <f>L542*E542</f>
        <v/>
      </c>
      <c r="N542" s="20" t="n">
        <v>50</v>
      </c>
      <c r="O542" s="20" t="n"/>
      <c r="P542" s="20">
        <f>O542-N542</f>
        <v/>
      </c>
      <c r="Q542" s="20">
        <f>P542*E542</f>
        <v/>
      </c>
      <c r="R542" s="20" t="n"/>
    </row>
    <row r="543" ht="20" customHeight="1" s="1">
      <c r="A543" s="16" t="inlineStr">
        <is>
          <t>13233</t>
        </is>
      </c>
      <c r="B543" s="17" t="inlineStr">
        <is>
          <t>Natura Siberika</t>
        </is>
      </c>
      <c r="C543" s="16" t="inlineStr">
        <is>
          <t>4607174430518</t>
        </is>
      </c>
      <c r="D543" s="17" t="inlineStr">
        <is>
          <t>N/S Sampun Protiv perxoti  400 ml</t>
        </is>
      </c>
      <c r="E543" s="18" t="n">
        <v>10.9</v>
      </c>
      <c r="F543" s="18" t="n">
        <v>6</v>
      </c>
      <c r="G543" s="18" t="n">
        <v>7</v>
      </c>
      <c r="H543" s="18" t="n"/>
      <c r="I543" s="18" t="n"/>
      <c r="J543" s="18" t="n"/>
      <c r="K543" s="19">
        <f>H543+I543+J543</f>
        <v/>
      </c>
      <c r="L543" s="19">
        <f>K543-G543</f>
        <v/>
      </c>
      <c r="M543" s="20">
        <f>L543*E543</f>
        <v/>
      </c>
      <c r="N543" s="20" t="n">
        <v>50</v>
      </c>
      <c r="O543" s="20" t="n"/>
      <c r="P543" s="20">
        <f>O543-N543</f>
        <v/>
      </c>
      <c r="Q543" s="20">
        <f>P543*E543</f>
        <v/>
      </c>
      <c r="R543" s="20" t="n"/>
    </row>
    <row r="544" ht="20" customHeight="1" s="1">
      <c r="A544" s="21" t="inlineStr">
        <is>
          <t>12984</t>
        </is>
      </c>
      <c r="B544" s="22" t="inlineStr">
        <is>
          <t>Natura Siberika</t>
        </is>
      </c>
      <c r="C544" s="21" t="inlineStr">
        <is>
          <t>4607174430341</t>
        </is>
      </c>
      <c r="D544" s="22" t="inlineStr">
        <is>
          <t>N/S Sampun d/jirnix vol Obem i balans 400 ml</t>
        </is>
      </c>
      <c r="E544" s="23" t="n">
        <v>10.9</v>
      </c>
      <c r="F544" s="23" t="n">
        <v>6</v>
      </c>
      <c r="G544" s="23" t="n">
        <v>9</v>
      </c>
      <c r="H544" s="23" t="n"/>
      <c r="I544" s="23" t="n"/>
      <c r="J544" s="23" t="n"/>
      <c r="K544" s="19">
        <f>H544+I544+J544</f>
        <v/>
      </c>
      <c r="L544" s="19">
        <f>K544-G544</f>
        <v/>
      </c>
      <c r="M544" s="20">
        <f>L544*E544</f>
        <v/>
      </c>
      <c r="N544" s="20" t="n">
        <v>50</v>
      </c>
      <c r="O544" s="20" t="n"/>
      <c r="P544" s="20">
        <f>O544-N544</f>
        <v/>
      </c>
      <c r="Q544" s="20">
        <f>P544*E544</f>
        <v/>
      </c>
      <c r="R544" s="20" t="n"/>
    </row>
    <row r="545" ht="20" customHeight="1" s="1">
      <c r="A545" s="16" t="inlineStr">
        <is>
          <t>13250</t>
        </is>
      </c>
      <c r="B545" s="17" t="inlineStr">
        <is>
          <t>Natura Siberika</t>
        </is>
      </c>
      <c r="C545" s="16" t="inlineStr">
        <is>
          <t>4607174430440</t>
        </is>
      </c>
      <c r="D545" s="17" t="inlineStr">
        <is>
          <t>N/S Sampun okrasen.povr.vol.Zasita i blesk 400 ml</t>
        </is>
      </c>
      <c r="E545" s="18" t="n">
        <v>10.9</v>
      </c>
      <c r="F545" s="18" t="n">
        <v>6</v>
      </c>
      <c r="G545" s="18" t="n">
        <v>6</v>
      </c>
      <c r="H545" s="18" t="n"/>
      <c r="I545" s="18" t="n"/>
      <c r="J545" s="18" t="n"/>
      <c r="K545" s="19" t="n"/>
      <c r="L545" s="19" t="n"/>
      <c r="M545" s="20" t="n"/>
      <c r="N545" s="20" t="n">
        <v>50</v>
      </c>
      <c r="O545" s="20" t="n"/>
      <c r="P545" s="20">
        <f>O545-N545</f>
        <v/>
      </c>
      <c r="Q545" s="20">
        <f>P545*E545</f>
        <v/>
      </c>
      <c r="R545" s="20" t="n"/>
    </row>
    <row r="546" ht="20" customHeight="1" s="1">
      <c r="A546" s="21" t="inlineStr">
        <is>
          <t>12990</t>
        </is>
      </c>
      <c r="B546" s="22" t="inlineStr">
        <is>
          <t>Natura Siberika</t>
        </is>
      </c>
      <c r="C546" s="21" t="inlineStr">
        <is>
          <t>4607174430457</t>
        </is>
      </c>
      <c r="D546" s="22" t="inlineStr">
        <is>
          <t>N/S Sampun d/sux vol Zasita i pitanie 400 ml</t>
        </is>
      </c>
      <c r="E546" s="23" t="n">
        <v>10.9</v>
      </c>
      <c r="F546" s="23" t="n">
        <v>6</v>
      </c>
      <c r="G546" s="23" t="n">
        <v>8</v>
      </c>
      <c r="H546" s="23" t="n"/>
      <c r="I546" s="23" t="n"/>
      <c r="J546" s="23" t="n"/>
      <c r="K546" s="19" t="n"/>
      <c r="L546" s="19" t="n"/>
      <c r="M546" s="20" t="n"/>
      <c r="N546" s="20" t="n">
        <v>50</v>
      </c>
      <c r="O546" s="20" t="n"/>
      <c r="P546" s="20">
        <f>O546-N546</f>
        <v/>
      </c>
      <c r="Q546" s="20">
        <f>P546*E546</f>
        <v/>
      </c>
      <c r="R546" s="20" t="n"/>
    </row>
    <row r="547" ht="20" customHeight="1" s="1">
      <c r="A547" s="16" t="inlineStr">
        <is>
          <t>13577</t>
        </is>
      </c>
      <c r="B547" s="17" t="inlineStr">
        <is>
          <t>Natura Siberika</t>
        </is>
      </c>
      <c r="C547" s="16" t="inlineStr">
        <is>
          <t>4607174430464</t>
        </is>
      </c>
      <c r="D547" s="17" t="inlineStr">
        <is>
          <t>N/S Sampun d/osl vol Zasita i enerqiya 400 ml</t>
        </is>
      </c>
      <c r="E547" s="18" t="n">
        <v>10.9</v>
      </c>
      <c r="F547" s="18" t="n">
        <v>6</v>
      </c>
      <c r="G547" s="18" t="n">
        <v>0</v>
      </c>
      <c r="H547" s="18" t="n"/>
      <c r="I547" s="18" t="n"/>
      <c r="J547" s="18" t="n"/>
      <c r="K547" s="19">
        <f>H547+I547+J547</f>
        <v/>
      </c>
      <c r="L547" s="19">
        <f>K547-G547</f>
        <v/>
      </c>
      <c r="M547" s="20">
        <f>L547*E547</f>
        <v/>
      </c>
      <c r="N547" s="20" t="n">
        <v>50</v>
      </c>
      <c r="O547" s="20" t="n"/>
      <c r="P547" s="20">
        <f>O547-N547</f>
        <v/>
      </c>
      <c r="Q547" s="20">
        <f>P547*E547</f>
        <v/>
      </c>
      <c r="R547" s="20" t="n"/>
    </row>
    <row r="548" ht="20" customHeight="1" s="1">
      <c r="A548" s="21" t="inlineStr">
        <is>
          <t>13163</t>
        </is>
      </c>
      <c r="B548" s="22" t="inlineStr">
        <is>
          <t>Natura Siberika</t>
        </is>
      </c>
      <c r="C548" s="21" t="inlineStr">
        <is>
          <t>4607174430501</t>
        </is>
      </c>
      <c r="D548" s="22" t="inlineStr">
        <is>
          <t>N/S Sampun Neytralniy  400 ml</t>
        </is>
      </c>
      <c r="E548" s="23" t="n">
        <v>10.9</v>
      </c>
      <c r="F548" s="23" t="n">
        <v>6</v>
      </c>
      <c r="G548" s="23" t="n">
        <v>0</v>
      </c>
      <c r="H548" s="23" t="n"/>
      <c r="I548" s="23" t="n"/>
      <c r="J548" s="23" t="n"/>
      <c r="K548" s="19">
        <f>H548+I548+J548</f>
        <v/>
      </c>
      <c r="L548" s="19">
        <f>K548-G548</f>
        <v/>
      </c>
      <c r="M548" s="20">
        <f>L548*E548</f>
        <v/>
      </c>
      <c r="N548" s="20" t="n">
        <v>50</v>
      </c>
      <c r="O548" s="20" t="n"/>
      <c r="P548" s="20">
        <f>O548-N548</f>
        <v/>
      </c>
      <c r="Q548" s="20">
        <f>P548*E548</f>
        <v/>
      </c>
      <c r="R548" s="20" t="n"/>
    </row>
    <row r="549" ht="20" customHeight="1" s="1">
      <c r="A549" s="16" t="inlineStr">
        <is>
          <t>12798</t>
        </is>
      </c>
      <c r="B549" s="17" t="inlineStr">
        <is>
          <t>Natura Siberika</t>
        </is>
      </c>
      <c r="C549" s="16" t="inlineStr">
        <is>
          <t>4607174434431</t>
        </is>
      </c>
      <c r="D549" s="17" t="inlineStr">
        <is>
          <t>N/S Sampun d/okr. vol Zasita bles Doy-Paki 500 ml</t>
        </is>
      </c>
      <c r="E549" s="18" t="n">
        <v>7.9</v>
      </c>
      <c r="F549" s="18" t="n">
        <v>12</v>
      </c>
      <c r="G549" s="18" t="n">
        <v>10</v>
      </c>
      <c r="H549" s="18" t="n"/>
      <c r="I549" s="18" t="n"/>
      <c r="J549" s="18" t="n"/>
      <c r="K549" s="19" t="n"/>
      <c r="L549" s="19" t="n"/>
      <c r="M549" s="20" t="n"/>
      <c r="N549" s="20" t="n">
        <v>50</v>
      </c>
      <c r="O549" s="20" t="n"/>
      <c r="P549" s="20">
        <f>O549-N549</f>
        <v/>
      </c>
      <c r="Q549" s="20">
        <f>P549*E549</f>
        <v/>
      </c>
      <c r="R549" s="20" t="n"/>
    </row>
    <row r="550" ht="20" customHeight="1" s="1">
      <c r="A550" s="21" t="inlineStr">
        <is>
          <t>12855</t>
        </is>
      </c>
      <c r="B550" s="22" t="inlineStr">
        <is>
          <t>Natura Siberika</t>
        </is>
      </c>
      <c r="C550" s="21" t="inlineStr">
        <is>
          <t>4607174434424</t>
        </is>
      </c>
      <c r="D550" s="22" t="inlineStr">
        <is>
          <t>N/S Sampun d/vsex. vol Obem i uxod Doy-Paki 500ml</t>
        </is>
      </c>
      <c r="E550" s="23" t="n">
        <v>7.9</v>
      </c>
      <c r="F550" s="23" t="n">
        <v>12</v>
      </c>
      <c r="G550" s="23" t="n">
        <v>2</v>
      </c>
      <c r="H550" s="23" t="n"/>
      <c r="I550" s="23" t="n"/>
      <c r="J550" s="23" t="n"/>
      <c r="K550" s="19" t="n"/>
      <c r="L550" s="19" t="n"/>
      <c r="M550" s="20" t="n"/>
      <c r="N550" s="20" t="n">
        <v>50</v>
      </c>
      <c r="O550" s="20" t="n"/>
      <c r="P550" s="20">
        <f>O550-N550</f>
        <v/>
      </c>
      <c r="Q550" s="20">
        <f>P550*E550</f>
        <v/>
      </c>
      <c r="R550" s="20" t="n"/>
    </row>
    <row r="551" ht="20" customHeight="1" s="1">
      <c r="A551" s="16" t="inlineStr">
        <is>
          <t>17593</t>
        </is>
      </c>
      <c r="B551" s="17" t="inlineStr">
        <is>
          <t>Natura Siberika</t>
        </is>
      </c>
      <c r="C551" s="16" t="inlineStr">
        <is>
          <t>4680007219535</t>
        </is>
      </c>
      <c r="D551" s="17" t="inlineStr">
        <is>
          <t>N/S Organic Kitc Bombo d/vanni Pit Stak mol 115q</t>
        </is>
      </c>
      <c r="E551" s="18" t="n">
        <v>4.8</v>
      </c>
      <c r="F551" s="18" t="n">
        <v>15</v>
      </c>
      <c r="G551" s="18" t="n">
        <v>0</v>
      </c>
      <c r="H551" s="18" t="n"/>
      <c r="I551" s="18" t="n"/>
      <c r="J551" s="18" t="n"/>
      <c r="K551" s="19">
        <f>H551+I551+J551</f>
        <v/>
      </c>
      <c r="L551" s="19">
        <f>K551-G551</f>
        <v/>
      </c>
      <c r="M551" s="20">
        <f>L551*E551</f>
        <v/>
      </c>
      <c r="N551" s="20" t="n">
        <v>50</v>
      </c>
      <c r="O551" s="20" t="n"/>
      <c r="P551" s="20">
        <f>O551-N551</f>
        <v/>
      </c>
      <c r="Q551" s="20">
        <f>P551*E551</f>
        <v/>
      </c>
      <c r="R551" s="20" t="n"/>
    </row>
    <row r="552" ht="20" customHeight="1" s="1">
      <c r="A552" s="21" t="inlineStr">
        <is>
          <t>17595</t>
        </is>
      </c>
      <c r="B552" s="22" t="inlineStr">
        <is>
          <t>Natura Siberika</t>
        </is>
      </c>
      <c r="C552" s="21" t="inlineStr">
        <is>
          <t>4680007219566</t>
        </is>
      </c>
      <c r="D552" s="22" t="inlineStr">
        <is>
          <t>N/S Organic Kitc Bombo d/vanni Rassla Rozo 115q</t>
        </is>
      </c>
      <c r="E552" s="23" t="n">
        <v>4.8</v>
      </c>
      <c r="F552" s="23" t="n">
        <v>15</v>
      </c>
      <c r="G552" s="23" t="n">
        <v>0</v>
      </c>
      <c r="H552" s="23" t="n"/>
      <c r="I552" s="23" t="n"/>
      <c r="J552" s="23" t="n"/>
      <c r="K552" s="19">
        <f>H552+I552+J552</f>
        <v/>
      </c>
      <c r="L552" s="19">
        <f>K552-G552</f>
        <v/>
      </c>
      <c r="M552" s="20">
        <f>L552*E552</f>
        <v/>
      </c>
      <c r="N552" s="20" t="n">
        <v>50</v>
      </c>
      <c r="O552" s="20" t="n"/>
      <c r="P552" s="20">
        <f>O552-N552</f>
        <v/>
      </c>
      <c r="Q552" s="20">
        <f>P552*E552</f>
        <v/>
      </c>
      <c r="R552" s="20" t="n"/>
    </row>
    <row r="553" ht="20" customHeight="1" s="1">
      <c r="A553" s="16" t="inlineStr">
        <is>
          <t>18546</t>
        </is>
      </c>
      <c r="B553" s="17" t="inlineStr">
        <is>
          <t>Natura Siberika</t>
        </is>
      </c>
      <c r="C553" s="16" t="inlineStr">
        <is>
          <t>4630079566679</t>
        </is>
      </c>
      <c r="D553" s="17" t="inlineStr">
        <is>
          <t>N/S LAB Biome Sivorotka d/lica Uspokaivayusay 30ml</t>
        </is>
      </c>
      <c r="E553" s="18" t="n">
        <v>9.800000000000001</v>
      </c>
      <c r="F553" s="18" t="n">
        <v>8</v>
      </c>
      <c r="G553" s="18" t="n">
        <v>0</v>
      </c>
      <c r="H553" s="18" t="n"/>
      <c r="I553" s="18" t="n"/>
      <c r="J553" s="18" t="n"/>
      <c r="K553" s="19">
        <f>H553+I553+J553</f>
        <v/>
      </c>
      <c r="L553" s="19">
        <f>K553-G553</f>
        <v/>
      </c>
      <c r="M553" s="20">
        <f>L553*E553</f>
        <v/>
      </c>
      <c r="N553" s="20" t="n">
        <v>50</v>
      </c>
      <c r="O553" s="20" t="n"/>
      <c r="P553" s="20">
        <f>O553-N553</f>
        <v/>
      </c>
      <c r="Q553" s="20">
        <f>P553*E553</f>
        <v/>
      </c>
      <c r="R553" s="20" t="n"/>
    </row>
    <row r="554" ht="20" customHeight="1" s="1">
      <c r="A554" s="21" t="inlineStr">
        <is>
          <t>16943</t>
        </is>
      </c>
      <c r="B554" s="22" t="inlineStr">
        <is>
          <t>Natura Siberika</t>
        </is>
      </c>
      <c r="C554" s="21" t="inlineStr">
        <is>
          <t>4680038353888</t>
        </is>
      </c>
      <c r="D554" s="22" t="inlineStr">
        <is>
          <t>N/S Balzam Antioxidant d/ustavsix i osl vol 400ml</t>
        </is>
      </c>
      <c r="E554" s="23" t="n">
        <v>11.85</v>
      </c>
      <c r="F554" s="23" t="n">
        <v>6</v>
      </c>
      <c r="G554" s="23" t="n">
        <v>0</v>
      </c>
      <c r="H554" s="23" t="n"/>
      <c r="I554" s="23" t="n"/>
      <c r="J554" s="23" t="n"/>
      <c r="K554" s="19">
        <f>H554+I554+J554</f>
        <v/>
      </c>
      <c r="L554" s="19">
        <f>K554-G554</f>
        <v/>
      </c>
      <c r="M554" s="20">
        <f>L554*E554</f>
        <v/>
      </c>
      <c r="N554" s="20" t="n">
        <v>50</v>
      </c>
      <c r="O554" s="20" t="n"/>
      <c r="P554" s="20">
        <f>O554-N554</f>
        <v/>
      </c>
      <c r="Q554" s="20">
        <f>P554*E554</f>
        <v/>
      </c>
      <c r="R554" s="20" t="n"/>
    </row>
    <row r="555" ht="20" customHeight="1" s="1">
      <c r="A555" s="16" t="inlineStr">
        <is>
          <t>16944</t>
        </is>
      </c>
      <c r="B555" s="17" t="inlineStr">
        <is>
          <t>Natura Siberika</t>
        </is>
      </c>
      <c r="C555" s="16" t="inlineStr">
        <is>
          <t>4680038356582</t>
        </is>
      </c>
      <c r="D555" s="17" t="inlineStr">
        <is>
          <t>N/S Balzam Anti-pollution d/tonkix volos 400ml</t>
        </is>
      </c>
      <c r="E555" s="18" t="n">
        <v>12.55</v>
      </c>
      <c r="F555" s="18" t="n">
        <v>6</v>
      </c>
      <c r="G555" s="18" t="n">
        <v>0</v>
      </c>
      <c r="H555" s="18" t="n"/>
      <c r="I555" s="18" t="n"/>
      <c r="J555" s="18" t="n"/>
      <c r="K555" s="19">
        <f>H555+I555+J555</f>
        <v/>
      </c>
      <c r="L555" s="19">
        <f>K555-G555</f>
        <v/>
      </c>
      <c r="M555" s="20">
        <f>L555*E555</f>
        <v/>
      </c>
      <c r="N555" s="20" t="n">
        <v>50</v>
      </c>
      <c r="O555" s="20" t="n"/>
      <c r="P555" s="20">
        <f>O555-N555</f>
        <v/>
      </c>
      <c r="Q555" s="20">
        <f>P555*E555</f>
        <v/>
      </c>
      <c r="R555" s="20" t="n"/>
    </row>
    <row r="556" ht="20" customHeight="1" s="1">
      <c r="A556" s="21" t="inlineStr">
        <is>
          <t>18302</t>
        </is>
      </c>
      <c r="B556" s="22" t="inlineStr">
        <is>
          <t>Natura Siberika</t>
        </is>
      </c>
      <c r="C556" s="21" t="inlineStr">
        <is>
          <t>4680038359583</t>
        </is>
      </c>
      <c r="D556" s="22" t="inlineStr">
        <is>
          <t>N/S Oblepikha C-Berrica Maska d/lica Vitami 100ml</t>
        </is>
      </c>
      <c r="E556" s="23" t="n">
        <v>10.4</v>
      </c>
      <c r="F556" s="23" t="n">
        <v>10</v>
      </c>
      <c r="G556" s="23" t="n">
        <v>0</v>
      </c>
      <c r="H556" s="23" t="n"/>
      <c r="I556" s="23" t="n"/>
      <c r="J556" s="23" t="n"/>
      <c r="K556" s="19">
        <f>H556+I556+J556</f>
        <v/>
      </c>
      <c r="L556" s="19">
        <f>K556-G556</f>
        <v/>
      </c>
      <c r="M556" s="20">
        <f>L556*E556</f>
        <v/>
      </c>
      <c r="N556" s="20" t="n">
        <v>50</v>
      </c>
      <c r="O556" s="20" t="n"/>
      <c r="P556" s="20">
        <f>O556-N556</f>
        <v/>
      </c>
      <c r="Q556" s="20">
        <f>P556*E556</f>
        <v/>
      </c>
      <c r="R556" s="20" t="n"/>
    </row>
    <row r="557" ht="20" customHeight="1" s="1">
      <c r="A557" s="16" t="inlineStr">
        <is>
          <t>13246</t>
        </is>
      </c>
      <c r="B557" s="17" t="inlineStr">
        <is>
          <t>Natura Siberika</t>
        </is>
      </c>
      <c r="C557" s="16" t="inlineStr">
        <is>
          <t>4607174430532</t>
        </is>
      </c>
      <c r="D557" s="17" t="inlineStr">
        <is>
          <t>N/S Balzam d/sux volos Obem i uvlajnenie 400 ml</t>
        </is>
      </c>
      <c r="E557" s="18" t="n">
        <v>9.800000000000001</v>
      </c>
      <c r="F557" s="18" t="n">
        <v>6</v>
      </c>
      <c r="G557" s="18" t="n">
        <v>0</v>
      </c>
      <c r="H557" s="18" t="n"/>
      <c r="I557" s="18" t="n"/>
      <c r="J557" s="18" t="n"/>
      <c r="K557" s="19">
        <f>H557+I557+J557</f>
        <v/>
      </c>
      <c r="L557" s="19">
        <f>K557-G557</f>
        <v/>
      </c>
      <c r="M557" s="20">
        <f>L557*E557</f>
        <v/>
      </c>
      <c r="N557" s="20" t="n">
        <v>50</v>
      </c>
      <c r="O557" s="20" t="n"/>
      <c r="P557" s="20">
        <f>O557-N557</f>
        <v/>
      </c>
      <c r="Q557" s="20">
        <f>P557*E557</f>
        <v/>
      </c>
      <c r="R557" s="20" t="n"/>
    </row>
    <row r="558" ht="20" customHeight="1" s="1">
      <c r="A558" s="21" t="inlineStr">
        <is>
          <t>13455</t>
        </is>
      </c>
      <c r="B558" s="22" t="inlineStr">
        <is>
          <t>Natura Siberika</t>
        </is>
      </c>
      <c r="C558" s="21" t="inlineStr">
        <is>
          <t>4607174430822</t>
        </is>
      </c>
      <c r="D558" s="22" t="inlineStr">
        <is>
          <t>N/S Ocisayusiy flyud d/umivanie dlya lisa  200 ml</t>
        </is>
      </c>
      <c r="E558" s="23" t="n">
        <v>9.5</v>
      </c>
      <c r="F558" s="23" t="n">
        <v>8</v>
      </c>
      <c r="G558" s="23" t="n">
        <v>0</v>
      </c>
      <c r="H558" s="23" t="n"/>
      <c r="I558" s="23" t="n"/>
      <c r="J558" s="23" t="n"/>
      <c r="K558" s="19">
        <f>H558+I558+J558</f>
        <v/>
      </c>
      <c r="L558" s="19">
        <f>K558-G558</f>
        <v/>
      </c>
      <c r="M558" s="20">
        <f>L558*E558</f>
        <v/>
      </c>
      <c r="N558" s="20" t="n">
        <v>50</v>
      </c>
      <c r="O558" s="20" t="n"/>
      <c r="P558" s="20">
        <f>O558-N558</f>
        <v/>
      </c>
      <c r="Q558" s="20">
        <f>P558*E558</f>
        <v/>
      </c>
      <c r="R558" s="20" t="n"/>
    </row>
    <row r="559" ht="20" customHeight="1" s="1">
      <c r="A559" s="16" t="inlineStr">
        <is>
          <t>18539</t>
        </is>
      </c>
      <c r="B559" s="17" t="inlineStr">
        <is>
          <t>Natura Siberika</t>
        </is>
      </c>
      <c r="C559" s="16" t="inlineStr">
        <is>
          <t>4630079567768</t>
        </is>
      </c>
      <c r="D559" s="17" t="inlineStr">
        <is>
          <t>N/S LAB Biome Sivorotka-siyanie d/lica 30ml</t>
        </is>
      </c>
      <c r="E559" s="18" t="n">
        <v>9.800000000000001</v>
      </c>
      <c r="F559" s="18" t="n">
        <v>8</v>
      </c>
      <c r="G559" s="18" t="n">
        <v>0</v>
      </c>
      <c r="H559" s="18" t="n"/>
      <c r="I559" s="18" t="n"/>
      <c r="J559" s="18" t="n"/>
      <c r="K559" s="19">
        <f>H559+I559+J559</f>
        <v/>
      </c>
      <c r="L559" s="19">
        <f>K559-G559</f>
        <v/>
      </c>
      <c r="M559" s="20">
        <f>L559*E559</f>
        <v/>
      </c>
      <c r="N559" s="20" t="n">
        <v>50</v>
      </c>
      <c r="O559" s="20" t="n"/>
      <c r="P559" s="20">
        <f>O559-N559</f>
        <v/>
      </c>
      <c r="Q559" s="20">
        <f>P559*E559</f>
        <v/>
      </c>
      <c r="R559" s="20" t="n"/>
    </row>
    <row r="560" ht="20" customHeight="1" s="1">
      <c r="A560" s="21" t="inlineStr">
        <is>
          <t>18543</t>
        </is>
      </c>
      <c r="B560" s="22" t="inlineStr">
        <is>
          <t>Natura Siberika</t>
        </is>
      </c>
      <c r="C560" s="21" t="inlineStr">
        <is>
          <t>4630079566686</t>
        </is>
      </c>
      <c r="D560" s="22" t="inlineStr">
        <is>
          <t>N/S LAB Biome Sivorotka d/lica Antivozrastnay 30ml</t>
        </is>
      </c>
      <c r="E560" s="23" t="n">
        <v>9.800000000000001</v>
      </c>
      <c r="F560" s="23" t="n">
        <v>8</v>
      </c>
      <c r="G560" s="23" t="n">
        <v>0</v>
      </c>
      <c r="H560" s="23" t="n"/>
      <c r="I560" s="23" t="n"/>
      <c r="J560" s="23" t="n"/>
      <c r="K560" s="19">
        <f>H560+I560+J560</f>
        <v/>
      </c>
      <c r="L560" s="19">
        <f>K560-G560</f>
        <v/>
      </c>
      <c r="M560" s="20">
        <f>L560*E560</f>
        <v/>
      </c>
      <c r="N560" s="20" t="n">
        <v>50</v>
      </c>
      <c r="O560" s="20" t="n"/>
      <c r="P560" s="20">
        <f>O560-N560</f>
        <v/>
      </c>
      <c r="Q560" s="20">
        <f>P560*E560</f>
        <v/>
      </c>
      <c r="R560" s="20" t="n"/>
    </row>
    <row r="561" ht="20" customHeight="1" s="1">
      <c r="A561" s="16" t="inlineStr">
        <is>
          <t>18544</t>
        </is>
      </c>
      <c r="B561" s="17" t="inlineStr">
        <is>
          <t>Natura Siberika</t>
        </is>
      </c>
      <c r="C561" s="16" t="inlineStr">
        <is>
          <t>4630079566433</t>
        </is>
      </c>
      <c r="D561" s="17" t="inlineStr">
        <is>
          <t>N/S LAB Biome Sivorotka d/lica Omolajivayusay 30ml</t>
        </is>
      </c>
      <c r="E561" s="18" t="n">
        <v>9.800000000000001</v>
      </c>
      <c r="F561" s="18" t="n">
        <v>8</v>
      </c>
      <c r="G561" s="18" t="n">
        <v>0</v>
      </c>
      <c r="H561" s="18" t="n"/>
      <c r="I561" s="18" t="n"/>
      <c r="J561" s="18" t="n"/>
      <c r="K561" s="19">
        <f>H561+I561+J561</f>
        <v/>
      </c>
      <c r="L561" s="19">
        <f>K561-G561</f>
        <v/>
      </c>
      <c r="M561" s="20">
        <f>L561*E561</f>
        <v/>
      </c>
      <c r="N561" s="20" t="n">
        <v>50</v>
      </c>
      <c r="O561" s="20" t="n"/>
      <c r="P561" s="20">
        <f>O561-N561</f>
        <v/>
      </c>
      <c r="Q561" s="20">
        <f>P561*E561</f>
        <v/>
      </c>
      <c r="R561" s="20" t="n"/>
    </row>
    <row r="562" ht="20" customHeight="1" s="1">
      <c r="A562" s="21" t="inlineStr">
        <is>
          <t>17228</t>
        </is>
      </c>
      <c r="B562" s="22" t="inlineStr">
        <is>
          <t>Natura Siberika</t>
        </is>
      </c>
      <c r="C562" s="21" t="inlineStr">
        <is>
          <t>4680038358272</t>
        </is>
      </c>
      <c r="D562" s="22" t="inlineStr">
        <is>
          <t>N/S Doctor Taiga Qel d/dusa Bio Yaqod omoloj 400ml</t>
        </is>
      </c>
      <c r="E562" s="23" t="n">
        <v>6</v>
      </c>
      <c r="F562" s="23" t="n">
        <v>6</v>
      </c>
      <c r="G562" s="23" t="n">
        <v>0</v>
      </c>
      <c r="H562" s="23" t="n"/>
      <c r="I562" s="23" t="n"/>
      <c r="J562" s="23" t="n"/>
      <c r="K562" s="19">
        <f>H562+I562+J562</f>
        <v/>
      </c>
      <c r="L562" s="19">
        <f>K562-G562</f>
        <v/>
      </c>
      <c r="M562" s="20">
        <f>L562*E562</f>
        <v/>
      </c>
      <c r="N562" s="20" t="n">
        <v>50</v>
      </c>
      <c r="O562" s="20" t="n"/>
      <c r="P562" s="20">
        <f>O562-N562</f>
        <v/>
      </c>
      <c r="Q562" s="20">
        <f>P562*E562</f>
        <v/>
      </c>
      <c r="R562" s="20" t="n"/>
    </row>
    <row r="563" ht="20" customHeight="1" s="1">
      <c r="A563" s="16" t="inlineStr">
        <is>
          <t>13142</t>
        </is>
      </c>
      <c r="B563" s="17" t="inlineStr">
        <is>
          <t>Natura Siberika</t>
        </is>
      </c>
      <c r="C563" s="16" t="inlineStr">
        <is>
          <t>4607174434776</t>
        </is>
      </c>
      <c r="D563" s="17" t="inlineStr">
        <is>
          <t>N/S Natur.Kamc Sampun Selkovoe zoloto 280 ml</t>
        </is>
      </c>
      <c r="E563" s="18" t="n">
        <v>2.5</v>
      </c>
      <c r="F563" s="18" t="n">
        <v>12</v>
      </c>
      <c r="G563" s="18" t="n">
        <v>1</v>
      </c>
      <c r="H563" s="18" t="n"/>
      <c r="I563" s="18" t="n"/>
      <c r="J563" s="18" t="n"/>
      <c r="K563" s="19" t="n"/>
      <c r="L563" s="19" t="n"/>
      <c r="M563" s="20" t="n"/>
      <c r="N563" s="20" t="n">
        <v>50</v>
      </c>
      <c r="O563" s="20" t="n"/>
      <c r="P563" s="20">
        <f>O563-N563</f>
        <v/>
      </c>
      <c r="Q563" s="20">
        <f>P563*E563</f>
        <v/>
      </c>
      <c r="R563" s="20" t="n"/>
    </row>
    <row r="564" ht="20" customHeight="1" s="1">
      <c r="A564" s="21" t="inlineStr">
        <is>
          <t>12779</t>
        </is>
      </c>
      <c r="B564" s="22" t="inlineStr">
        <is>
          <t>Natura Siberika</t>
        </is>
      </c>
      <c r="C564" s="21" t="inlineStr">
        <is>
          <t>4607174436138</t>
        </is>
      </c>
      <c r="D564" s="22" t="inlineStr">
        <is>
          <t>N/S Natur.Kamc Skrab dlya tela snejnaya lav 300 ml</t>
        </is>
      </c>
      <c r="E564" s="23" t="n">
        <v>8</v>
      </c>
      <c r="F564" s="23" t="n">
        <v>12</v>
      </c>
      <c r="G564" s="23" t="n">
        <v>0</v>
      </c>
      <c r="H564" s="23" t="n"/>
      <c r="I564" s="23" t="n"/>
      <c r="J564" s="23" t="n"/>
      <c r="K564" s="19">
        <f>H564+I564+J564</f>
        <v/>
      </c>
      <c r="L564" s="19">
        <f>K564-G564</f>
        <v/>
      </c>
      <c r="M564" s="20">
        <f>L564*E564</f>
        <v/>
      </c>
      <c r="N564" s="20" t="n">
        <v>50</v>
      </c>
      <c r="O564" s="20" t="n"/>
      <c r="P564" s="20">
        <f>O564-N564</f>
        <v/>
      </c>
      <c r="Q564" s="20">
        <f>P564*E564</f>
        <v/>
      </c>
      <c r="R564" s="20" t="n"/>
    </row>
    <row r="565" ht="20" customHeight="1" s="1">
      <c r="A565" s="16" t="inlineStr">
        <is>
          <t>13247</t>
        </is>
      </c>
      <c r="B565" s="17" t="inlineStr">
        <is>
          <t>Natura Siberika</t>
        </is>
      </c>
      <c r="C565" s="16" t="inlineStr">
        <is>
          <t>4607174432338</t>
        </is>
      </c>
      <c r="D565" s="17" t="inlineStr">
        <is>
          <t>N/S Ob.Siberi Oblepixa sampun d/nor/sux vol 400 ml</t>
        </is>
      </c>
      <c r="E565" s="18" t="n">
        <v>9.5</v>
      </c>
      <c r="F565" s="18" t="n">
        <v>6</v>
      </c>
      <c r="G565" s="18" t="n">
        <v>0</v>
      </c>
      <c r="H565" s="18" t="n"/>
      <c r="I565" s="18" t="n"/>
      <c r="J565" s="18" t="n"/>
      <c r="K565" s="19">
        <f>H565+I565+J565</f>
        <v/>
      </c>
      <c r="L565" s="19">
        <f>K565-G565</f>
        <v/>
      </c>
      <c r="M565" s="20">
        <f>L565*E565</f>
        <v/>
      </c>
      <c r="N565" s="20" t="n">
        <v>50</v>
      </c>
      <c r="O565" s="20" t="n"/>
      <c r="P565" s="20">
        <f>O565-N565</f>
        <v/>
      </c>
      <c r="Q565" s="20">
        <f>P565*E565</f>
        <v/>
      </c>
      <c r="R565" s="20" t="n"/>
    </row>
    <row r="566" ht="20" customHeight="1" s="1">
      <c r="A566" s="21" t="inlineStr">
        <is>
          <t>16150</t>
        </is>
      </c>
      <c r="B566" s="22" t="inlineStr">
        <is>
          <t>Natura Siberika</t>
        </is>
      </c>
      <c r="C566" s="21" t="inlineStr">
        <is>
          <t>4680038354120</t>
        </is>
      </c>
      <c r="D566" s="22" t="inlineStr">
        <is>
          <t>N/S Qel d/dusa Nejnost i pitanie 400 ml</t>
        </is>
      </c>
      <c r="E566" s="23" t="n">
        <v>10.35</v>
      </c>
      <c r="F566" s="23" t="n">
        <v>6</v>
      </c>
      <c r="G566" s="23" t="n">
        <v>0</v>
      </c>
      <c r="H566" s="23" t="n"/>
      <c r="I566" s="23" t="n"/>
      <c r="J566" s="23" t="n"/>
      <c r="K566" s="19">
        <f>H566+I566+J566</f>
        <v/>
      </c>
      <c r="L566" s="19">
        <f>K566-G566</f>
        <v/>
      </c>
      <c r="M566" s="20">
        <f>L566*E566</f>
        <v/>
      </c>
      <c r="N566" s="20" t="n">
        <v>50</v>
      </c>
      <c r="O566" s="20" t="n"/>
      <c r="P566" s="20">
        <f>O566-N566</f>
        <v/>
      </c>
      <c r="Q566" s="20">
        <f>P566*E566</f>
        <v/>
      </c>
      <c r="R566" s="20" t="n"/>
    </row>
    <row r="567" ht="20" customHeight="1" s="1">
      <c r="A567" s="16" t="inlineStr">
        <is>
          <t>16949</t>
        </is>
      </c>
      <c r="B567" s="17" t="inlineStr">
        <is>
          <t>Natura Siberika</t>
        </is>
      </c>
      <c r="C567" s="16" t="inlineStr">
        <is>
          <t>4680038358159</t>
        </is>
      </c>
      <c r="D567" s="17" t="inlineStr">
        <is>
          <t>N/S Doctor Taiga balzam Bio vosst povrjd vol 400ml</t>
        </is>
      </c>
      <c r="E567" s="18" t="n">
        <v>6.2</v>
      </c>
      <c r="F567" s="18" t="n">
        <v>6</v>
      </c>
      <c r="G567" s="18" t="n">
        <v>0</v>
      </c>
      <c r="H567" s="18" t="n"/>
      <c r="I567" s="18" t="n"/>
      <c r="J567" s="18" t="n"/>
      <c r="K567" s="19">
        <f>H567+I567+J567</f>
        <v/>
      </c>
      <c r="L567" s="19">
        <f>K567-G567</f>
        <v/>
      </c>
      <c r="M567" s="20">
        <f>L567*E567</f>
        <v/>
      </c>
      <c r="N567" s="20" t="n">
        <v>50</v>
      </c>
      <c r="O567" s="20" t="n"/>
      <c r="P567" s="20">
        <f>O567-N567</f>
        <v/>
      </c>
      <c r="Q567" s="20">
        <f>P567*E567</f>
        <v/>
      </c>
      <c r="R567" s="20" t="n"/>
    </row>
    <row r="568" ht="20" customHeight="1" s="1">
      <c r="A568" s="21" t="inlineStr">
        <is>
          <t>16952</t>
        </is>
      </c>
      <c r="B568" s="22" t="inlineStr">
        <is>
          <t>Natura Siberika</t>
        </is>
      </c>
      <c r="C568" s="21" t="inlineStr">
        <is>
          <t>4680038358180</t>
        </is>
      </c>
      <c r="D568" s="22" t="inlineStr">
        <is>
          <t>N/S Doctor Taiga balzam Bio uvla d/sux vol 400ml</t>
        </is>
      </c>
      <c r="E568" s="23" t="n">
        <v>6.2</v>
      </c>
      <c r="F568" s="23" t="n">
        <v>6</v>
      </c>
      <c r="G568" s="23" t="n">
        <v>0</v>
      </c>
      <c r="H568" s="23" t="n"/>
      <c r="I568" s="23" t="n"/>
      <c r="J568" s="23" t="n"/>
      <c r="K568" s="19">
        <f>H568+I568+J568</f>
        <v/>
      </c>
      <c r="L568" s="19">
        <f>K568-G568</f>
        <v/>
      </c>
      <c r="M568" s="20">
        <f>L568*E568</f>
        <v/>
      </c>
      <c r="N568" s="20" t="n">
        <v>50</v>
      </c>
      <c r="O568" s="20" t="n"/>
      <c r="P568" s="20">
        <f>O568-N568</f>
        <v/>
      </c>
      <c r="Q568" s="20">
        <f>P568*E568</f>
        <v/>
      </c>
      <c r="R568" s="20" t="n"/>
    </row>
    <row r="569" ht="20" customHeight="1" s="1">
      <c r="A569" s="16" t="inlineStr">
        <is>
          <t>16954</t>
        </is>
      </c>
      <c r="B569" s="17" t="inlineStr">
        <is>
          <t>Natura Siberika</t>
        </is>
      </c>
      <c r="C569" s="16" t="inlineStr">
        <is>
          <t>4680038358265</t>
        </is>
      </c>
      <c r="D569" s="17" t="inlineStr">
        <is>
          <t>N/S Doctor Taiga Qel d/dusa Bio Kedrovoe SPA 400ml</t>
        </is>
      </c>
      <c r="E569" s="18" t="n">
        <v>6</v>
      </c>
      <c r="F569" s="18" t="n">
        <v>6</v>
      </c>
      <c r="G569" s="18" t="n">
        <v>0</v>
      </c>
      <c r="H569" s="18" t="n"/>
      <c r="I569" s="18" t="n"/>
      <c r="J569" s="18" t="n"/>
      <c r="K569" s="19">
        <f>H569+I569+J569</f>
        <v/>
      </c>
      <c r="L569" s="19">
        <f>K569-G569</f>
        <v/>
      </c>
      <c r="M569" s="20">
        <f>L569*E569</f>
        <v/>
      </c>
      <c r="N569" s="20" t="n">
        <v>50</v>
      </c>
      <c r="O569" s="20" t="n"/>
      <c r="P569" s="20">
        <f>O569-N569</f>
        <v/>
      </c>
      <c r="Q569" s="20">
        <f>P569*E569</f>
        <v/>
      </c>
      <c r="R569" s="20" t="n"/>
    </row>
    <row r="570" ht="20" customHeight="1" s="1">
      <c r="A570" s="21" t="inlineStr">
        <is>
          <t>16955</t>
        </is>
      </c>
      <c r="B570" s="22" t="inlineStr">
        <is>
          <t>Natura Siberika</t>
        </is>
      </c>
      <c r="C570" s="21" t="inlineStr">
        <is>
          <t>4680038358067</t>
        </is>
      </c>
      <c r="D570" s="22" t="inlineStr">
        <is>
          <t>N/S Doctor Taiga Sampun Bio vosst povrjd vol 400ml</t>
        </is>
      </c>
      <c r="E570" s="23" t="n">
        <v>6.2</v>
      </c>
      <c r="F570" s="23" t="n">
        <v>6</v>
      </c>
      <c r="G570" s="23" t="n">
        <v>0</v>
      </c>
      <c r="H570" s="23" t="n"/>
      <c r="I570" s="23" t="n"/>
      <c r="J570" s="23" t="n"/>
      <c r="K570" s="19">
        <f>H570+I570+J570</f>
        <v/>
      </c>
      <c r="L570" s="19">
        <f>K570-G570</f>
        <v/>
      </c>
      <c r="M570" s="20">
        <f>L570*E570</f>
        <v/>
      </c>
      <c r="N570" s="20" t="n">
        <v>50</v>
      </c>
      <c r="O570" s="20" t="n"/>
      <c r="P570" s="20">
        <f>O570-N570</f>
        <v/>
      </c>
      <c r="Q570" s="20">
        <f>P570*E570</f>
        <v/>
      </c>
      <c r="R570" s="20" t="n"/>
    </row>
    <row r="571" ht="20" customHeight="1" s="1">
      <c r="A571" s="16" t="inlineStr">
        <is>
          <t>16956</t>
        </is>
      </c>
      <c r="B571" s="17" t="inlineStr">
        <is>
          <t>Natura Siberika</t>
        </is>
      </c>
      <c r="C571" s="16" t="inlineStr">
        <is>
          <t>4680038358081</t>
        </is>
      </c>
      <c r="D571" s="17" t="inlineStr">
        <is>
          <t>N/S Doctor Taiga Sampun Bio zasita okras vol 400ml</t>
        </is>
      </c>
      <c r="E571" s="18" t="n">
        <v>6.2</v>
      </c>
      <c r="F571" s="18" t="n">
        <v>6</v>
      </c>
      <c r="G571" s="18" t="n">
        <v>0</v>
      </c>
      <c r="H571" s="18" t="n"/>
      <c r="I571" s="18" t="n"/>
      <c r="J571" s="18" t="n"/>
      <c r="K571" s="19">
        <f>H571+I571+J571</f>
        <v/>
      </c>
      <c r="L571" s="19">
        <f>K571-G571</f>
        <v/>
      </c>
      <c r="M571" s="20">
        <f>L571*E571</f>
        <v/>
      </c>
      <c r="N571" s="20" t="n">
        <v>50</v>
      </c>
      <c r="O571" s="20" t="n"/>
      <c r="P571" s="20">
        <f>O571-N571</f>
        <v/>
      </c>
      <c r="Q571" s="20">
        <f>P571*E571</f>
        <v/>
      </c>
      <c r="R571" s="20" t="n"/>
    </row>
    <row r="572" ht="20" customHeight="1" s="1">
      <c r="A572" s="21" t="inlineStr">
        <is>
          <t>17229</t>
        </is>
      </c>
      <c r="B572" s="22" t="inlineStr">
        <is>
          <t>Natura Siberika</t>
        </is>
      </c>
      <c r="C572" s="21" t="inlineStr">
        <is>
          <t>4680038358289</t>
        </is>
      </c>
      <c r="D572" s="22" t="inlineStr">
        <is>
          <t>N/S Doctor Taiga Qel d/dusa Bio Anticellyuli 400ml</t>
        </is>
      </c>
      <c r="E572" s="23" t="n">
        <v>6</v>
      </c>
      <c r="F572" s="23" t="n">
        <v>6</v>
      </c>
      <c r="G572" s="23" t="n">
        <v>6</v>
      </c>
      <c r="H572" s="23" t="n"/>
      <c r="I572" s="23" t="n"/>
      <c r="J572" s="23" t="n"/>
      <c r="K572" s="19" t="n"/>
      <c r="L572" s="19" t="n"/>
      <c r="M572" s="20" t="n"/>
      <c r="N572" s="20" t="n">
        <v>50</v>
      </c>
      <c r="O572" s="20" t="n"/>
      <c r="P572" s="20">
        <f>O572-N572</f>
        <v/>
      </c>
      <c r="Q572" s="20">
        <f>P572*E572</f>
        <v/>
      </c>
      <c r="R572" s="20" t="n"/>
    </row>
    <row r="573" ht="20" customHeight="1" s="1">
      <c r="A573" s="16" t="inlineStr">
        <is>
          <t>19763</t>
        </is>
      </c>
      <c r="B573" s="17" t="inlineStr">
        <is>
          <t>Natura Siberika</t>
        </is>
      </c>
      <c r="C573" s="16" t="inlineStr">
        <is>
          <t>4630007834450</t>
        </is>
      </c>
      <c r="D573" s="17" t="inlineStr">
        <is>
          <t>N/S Zero Qel d/ocsen santexnika i kafelya 500ml</t>
        </is>
      </c>
      <c r="E573" s="18" t="n">
        <v>4.5</v>
      </c>
      <c r="F573" s="18" t="n">
        <v>12</v>
      </c>
      <c r="G573" s="18" t="n">
        <v>0</v>
      </c>
      <c r="H573" s="18" t="n"/>
      <c r="I573" s="18" t="n"/>
      <c r="J573" s="18" t="n"/>
      <c r="K573" s="19">
        <f>H573+I573+J573</f>
        <v/>
      </c>
      <c r="L573" s="19">
        <f>K573-G573</f>
        <v/>
      </c>
      <c r="M573" s="20">
        <f>L573*E573</f>
        <v/>
      </c>
      <c r="N573" s="20" t="n">
        <v>50</v>
      </c>
      <c r="O573" s="20" t="n"/>
      <c r="P573" s="20">
        <f>O573-N573</f>
        <v/>
      </c>
      <c r="Q573" s="20">
        <f>P573*E573</f>
        <v/>
      </c>
      <c r="R573" s="20" t="n"/>
    </row>
    <row r="574" ht="20" customHeight="1" s="1">
      <c r="A574" s="21" t="inlineStr">
        <is>
          <t>19764</t>
        </is>
      </c>
      <c r="B574" s="22" t="inlineStr">
        <is>
          <t>Natura Siberika</t>
        </is>
      </c>
      <c r="C574" s="21" t="inlineStr">
        <is>
          <t>4630007834412</t>
        </is>
      </c>
      <c r="D574" s="22" t="inlineStr">
        <is>
          <t>N/S Zero Qel d/udalen stoykix i jirnix zaqryaz 500</t>
        </is>
      </c>
      <c r="E574" s="23" t="n">
        <v>4</v>
      </c>
      <c r="F574" s="23" t="n">
        <v>12</v>
      </c>
      <c r="G574" s="23" t="n">
        <v>0</v>
      </c>
      <c r="H574" s="23" t="n"/>
      <c r="I574" s="23" t="n"/>
      <c r="J574" s="23" t="n"/>
      <c r="K574" s="19">
        <f>H574+I574+J574</f>
        <v/>
      </c>
      <c r="L574" s="19">
        <f>K574-G574</f>
        <v/>
      </c>
      <c r="M574" s="20">
        <f>L574*E574</f>
        <v/>
      </c>
      <c r="N574" s="20" t="n">
        <v>50</v>
      </c>
      <c r="O574" s="20" t="n"/>
      <c r="P574" s="20">
        <f>O574-N574</f>
        <v/>
      </c>
      <c r="Q574" s="20">
        <f>P574*E574</f>
        <v/>
      </c>
      <c r="R574" s="20" t="n"/>
    </row>
    <row r="575" ht="20" customHeight="1" s="1">
      <c r="A575" s="16" t="inlineStr">
        <is>
          <t>21374</t>
        </is>
      </c>
      <c r="B575" s="17" t="inlineStr">
        <is>
          <t>Natura Siberika</t>
        </is>
      </c>
      <c r="C575" s="16" t="inlineStr">
        <is>
          <t>4630121103449</t>
        </is>
      </c>
      <c r="D575" s="17" t="inlineStr">
        <is>
          <t>N/S Оblepixoviy Sampun d/okresennix volos 400ml</t>
        </is>
      </c>
      <c r="E575" s="18" t="n">
        <v>8.800000000000001</v>
      </c>
      <c r="F575" s="18" t="n">
        <v>6</v>
      </c>
      <c r="G575" s="18" t="n">
        <v>0</v>
      </c>
      <c r="H575" s="18" t="n"/>
      <c r="I575" s="18" t="n"/>
      <c r="J575" s="18" t="n"/>
      <c r="K575" s="19">
        <f>H575+I575+J575</f>
        <v/>
      </c>
      <c r="L575" s="19">
        <f>K575-G575</f>
        <v/>
      </c>
      <c r="M575" s="20">
        <f>L575*E575</f>
        <v/>
      </c>
      <c r="N575" s="20" t="n">
        <v>50</v>
      </c>
      <c r="O575" s="20" t="n"/>
      <c r="P575" s="20">
        <f>O575-N575</f>
        <v/>
      </c>
      <c r="Q575" s="20">
        <f>P575*E575</f>
        <v/>
      </c>
      <c r="R575" s="20" t="n"/>
    </row>
    <row r="576" ht="20" customHeight="1" s="1">
      <c r="A576" s="21" t="inlineStr">
        <is>
          <t>17405</t>
        </is>
      </c>
      <c r="B576" s="22" t="inlineStr">
        <is>
          <t>Babusqa Aqafi</t>
        </is>
      </c>
      <c r="C576" s="21" t="inlineStr">
        <is>
          <t>4680019156019</t>
        </is>
      </c>
      <c r="D576" s="22" t="inlineStr">
        <is>
          <t>R/B.Aqafi Sampun Taejnie Nastoy 37 trav ob 500ml</t>
        </is>
      </c>
      <c r="E576" s="23" t="n">
        <v>6.5</v>
      </c>
      <c r="F576" s="23" t="n">
        <v>8</v>
      </c>
      <c r="G576" s="23" t="n">
        <v>0</v>
      </c>
      <c r="H576" s="23" t="n"/>
      <c r="I576" s="23" t="n"/>
      <c r="J576" s="23" t="n"/>
      <c r="K576" s="19">
        <f>H576+I576+J576</f>
        <v/>
      </c>
      <c r="L576" s="19">
        <f>K576-G576</f>
        <v/>
      </c>
      <c r="M576" s="20">
        <f>L576*E576</f>
        <v/>
      </c>
      <c r="N576" s="20" t="n">
        <v>50</v>
      </c>
      <c r="O576" s="20" t="n"/>
      <c r="P576" s="20">
        <f>O576-N576</f>
        <v/>
      </c>
      <c r="Q576" s="20">
        <f>P576*E576</f>
        <v/>
      </c>
      <c r="R576" s="20" t="n"/>
    </row>
    <row r="577" ht="20" customHeight="1" s="1">
      <c r="A577" s="16" t="inlineStr">
        <is>
          <t>12891</t>
        </is>
      </c>
      <c r="B577" s="17" t="inlineStr">
        <is>
          <t>Babusqa Aqafi</t>
        </is>
      </c>
      <c r="C577" s="16" t="inlineStr">
        <is>
          <t>4607040313907</t>
        </is>
      </c>
      <c r="D577" s="17" t="inlineStr">
        <is>
          <t>Aptecka Aqafi Sampun Protiv Vipadenie volos 300 ml</t>
        </is>
      </c>
      <c r="E577" s="18" t="n">
        <v>3.6</v>
      </c>
      <c r="F577" s="18" t="n">
        <v>12</v>
      </c>
      <c r="G577" s="18" t="n">
        <v>0</v>
      </c>
      <c r="H577" s="18" t="n"/>
      <c r="I577" s="18" t="n"/>
      <c r="J577" s="18" t="n"/>
      <c r="K577" s="19">
        <f>H577+I577+J577</f>
        <v/>
      </c>
      <c r="L577" s="19">
        <f>K577-G577</f>
        <v/>
      </c>
      <c r="M577" s="20">
        <f>L577*E577</f>
        <v/>
      </c>
      <c r="N577" s="20" t="n">
        <v>50</v>
      </c>
      <c r="O577" s="20" t="n"/>
      <c r="P577" s="20">
        <f>O577-N577</f>
        <v/>
      </c>
      <c r="Q577" s="20">
        <f>P577*E577</f>
        <v/>
      </c>
      <c r="R577" s="20" t="n"/>
    </row>
    <row r="578" ht="20" customHeight="1" s="1">
      <c r="A578" s="21" t="inlineStr">
        <is>
          <t>21478</t>
        </is>
      </c>
      <c r="B578" s="22" t="inlineStr">
        <is>
          <t>Babusqa Aqafi</t>
        </is>
      </c>
      <c r="C578" s="21" t="inlineStr">
        <is>
          <t>4610117500681</t>
        </is>
      </c>
      <c r="D578" s="22" t="inlineStr">
        <is>
          <t>Aptecka Aqafi Zolot dnev krem exp d/lisa 65+ 50ml</t>
        </is>
      </c>
      <c r="E578" s="23" t="n">
        <v>6</v>
      </c>
      <c r="F578" s="23" t="n">
        <v>12</v>
      </c>
      <c r="G578" s="23" t="n">
        <v>3</v>
      </c>
      <c r="H578" s="23" t="n"/>
      <c r="I578" s="23" t="n"/>
      <c r="J578" s="23" t="n"/>
      <c r="K578" s="19" t="n"/>
      <c r="L578" s="19" t="n"/>
      <c r="M578" s="20" t="n"/>
      <c r="N578" s="20" t="n">
        <v>50</v>
      </c>
      <c r="O578" s="20" t="n"/>
      <c r="P578" s="20">
        <f>O578-N578</f>
        <v/>
      </c>
      <c r="Q578" s="20">
        <f>P578*E578</f>
        <v/>
      </c>
      <c r="R578" s="20" t="n"/>
    </row>
    <row r="579" ht="20" customHeight="1" s="1">
      <c r="A579" s="16" t="inlineStr">
        <is>
          <t>13593</t>
        </is>
      </c>
      <c r="B579" s="17" t="inlineStr">
        <is>
          <t>Babusqa Aqafi</t>
        </is>
      </c>
      <c r="C579" s="16" t="inlineStr">
        <is>
          <t>4630007831305</t>
        </is>
      </c>
      <c r="D579" s="17" t="inlineStr">
        <is>
          <t>Banka Aqafi Maska d/lisa osvejayusaya 100 ml</t>
        </is>
      </c>
      <c r="E579" s="18" t="n">
        <v>3.3</v>
      </c>
      <c r="F579" s="18" t="n">
        <v>10</v>
      </c>
      <c r="G579" s="18" t="n">
        <v>0</v>
      </c>
      <c r="H579" s="18" t="n"/>
      <c r="I579" s="18" t="n"/>
      <c r="J579" s="18" t="n"/>
      <c r="K579" s="19">
        <f>H579+I579+J579</f>
        <v/>
      </c>
      <c r="L579" s="19">
        <f>K579-G579</f>
        <v/>
      </c>
      <c r="M579" s="20">
        <f>L579*E579</f>
        <v/>
      </c>
      <c r="N579" s="20" t="n">
        <v>50</v>
      </c>
      <c r="O579" s="20" t="n"/>
      <c r="P579" s="20">
        <f>O579-N579</f>
        <v/>
      </c>
      <c r="Q579" s="20">
        <f>P579*E579</f>
        <v/>
      </c>
      <c r="R579" s="20" t="n"/>
    </row>
    <row r="580" ht="20" customHeight="1" s="1">
      <c r="A580" s="21" t="inlineStr">
        <is>
          <t>13557</t>
        </is>
      </c>
      <c r="B580" s="22" t="inlineStr">
        <is>
          <t>Babusqa Aqafi</t>
        </is>
      </c>
      <c r="C580" s="21" t="inlineStr">
        <is>
          <t>4630007831213</t>
        </is>
      </c>
      <c r="D580" s="22" t="inlineStr">
        <is>
          <t>Banka Aqafi Maska d/lisa qolubaya ocisay 100 ml</t>
        </is>
      </c>
      <c r="E580" s="23" t="n">
        <v>3.3</v>
      </c>
      <c r="F580" s="23" t="n">
        <v>10</v>
      </c>
      <c r="G580" s="23" t="n">
        <v>0</v>
      </c>
      <c r="H580" s="23" t="n"/>
      <c r="I580" s="23" t="n"/>
      <c r="J580" s="23" t="n"/>
      <c r="K580" s="19">
        <f>H580+I580+J580</f>
        <v/>
      </c>
      <c r="L580" s="19">
        <f>K580-G580</f>
        <v/>
      </c>
      <c r="M580" s="20">
        <f>L580*E580</f>
        <v/>
      </c>
      <c r="N580" s="20" t="n">
        <v>50</v>
      </c>
      <c r="O580" s="20" t="n"/>
      <c r="P580" s="20">
        <f>O580-N580</f>
        <v/>
      </c>
      <c r="Q580" s="20">
        <f>P580*E580</f>
        <v/>
      </c>
      <c r="R580" s="20" t="n"/>
    </row>
    <row r="581" ht="20" customHeight="1" s="1">
      <c r="A581" s="16" t="inlineStr">
        <is>
          <t>14611</t>
        </is>
      </c>
      <c r="B581" s="17" t="inlineStr">
        <is>
          <t>Babusqa Aqafi</t>
        </is>
      </c>
      <c r="C581" s="16" t="inlineStr">
        <is>
          <t>4630007834856</t>
        </is>
      </c>
      <c r="D581" s="17" t="inlineStr">
        <is>
          <t>R/B Aqafi Moroskoviy krem vitamin dlya ruk 75 ml</t>
        </is>
      </c>
      <c r="E581" s="18" t="n">
        <v>2.3</v>
      </c>
      <c r="F581" s="18" t="n">
        <v>24</v>
      </c>
      <c r="G581" s="18" t="n">
        <v>0</v>
      </c>
      <c r="H581" s="18" t="n"/>
      <c r="I581" s="18" t="n"/>
      <c r="J581" s="18" t="n"/>
      <c r="K581" s="19">
        <f>H581+I581+J581</f>
        <v/>
      </c>
      <c r="L581" s="19">
        <f>K581-G581</f>
        <v/>
      </c>
      <c r="M581" s="20">
        <f>L581*E581</f>
        <v/>
      </c>
      <c r="N581" s="20" t="n">
        <v>50</v>
      </c>
      <c r="O581" s="20" t="n"/>
      <c r="P581" s="20">
        <f>O581-N581</f>
        <v/>
      </c>
      <c r="Q581" s="20">
        <f>P581*E581</f>
        <v/>
      </c>
      <c r="R581" s="20" t="n"/>
    </row>
    <row r="582" ht="20" customHeight="1" s="1">
      <c r="A582" s="21" t="inlineStr">
        <is>
          <t>14064</t>
        </is>
      </c>
      <c r="B582" s="22" t="inlineStr">
        <is>
          <t>Babusqa Aqafi</t>
        </is>
      </c>
      <c r="C582" s="21" t="inlineStr">
        <is>
          <t>4630007834863</t>
        </is>
      </c>
      <c r="D582" s="22" t="inlineStr">
        <is>
          <t>R/B Aqafi Moroskoviy krem dlya ruk omoloj. 75 ml</t>
        </is>
      </c>
      <c r="E582" s="23" t="n">
        <v>2.3</v>
      </c>
      <c r="F582" s="23" t="n">
        <v>24</v>
      </c>
      <c r="G582" s="23" t="n">
        <v>0</v>
      </c>
      <c r="H582" s="23" t="n"/>
      <c r="I582" s="23" t="n"/>
      <c r="J582" s="23" t="n"/>
      <c r="K582" s="19">
        <f>H582+I582+J582</f>
        <v/>
      </c>
      <c r="L582" s="19">
        <f>K582-G582</f>
        <v/>
      </c>
      <c r="M582" s="20">
        <f>L582*E582</f>
        <v/>
      </c>
      <c r="N582" s="20" t="n">
        <v>50</v>
      </c>
      <c r="O582" s="20" t="n"/>
      <c r="P582" s="20">
        <f>O582-N582</f>
        <v/>
      </c>
      <c r="Q582" s="20">
        <f>P582*E582</f>
        <v/>
      </c>
      <c r="R582" s="20" t="n"/>
    </row>
    <row r="583" ht="20" customHeight="1" s="1">
      <c r="A583" s="16" t="inlineStr">
        <is>
          <t>19581</t>
        </is>
      </c>
      <c r="B583" s="17" t="inlineStr">
        <is>
          <t>Babusqa Aqafi</t>
        </is>
      </c>
      <c r="C583" s="16" t="inlineStr">
        <is>
          <t>4680019158228</t>
        </is>
      </c>
      <c r="D583" s="17" t="inlineStr">
        <is>
          <t>R/B Aqafi Sampun smeyni Kedrovo ejed uxod 500ml</t>
        </is>
      </c>
      <c r="E583" s="18" t="n">
        <v>4.2</v>
      </c>
      <c r="F583" s="18" t="n">
        <v>12</v>
      </c>
      <c r="G583" s="18" t="n">
        <v>0</v>
      </c>
      <c r="H583" s="18" t="n"/>
      <c r="I583" s="18" t="n"/>
      <c r="J583" s="18" t="n"/>
      <c r="K583" s="19">
        <f>H583+I583+J583</f>
        <v/>
      </c>
      <c r="L583" s="19">
        <f>K583-G583</f>
        <v/>
      </c>
      <c r="M583" s="20">
        <f>L583*E583</f>
        <v/>
      </c>
      <c r="N583" s="20" t="n">
        <v>50</v>
      </c>
      <c r="O583" s="20" t="n"/>
      <c r="P583" s="20">
        <f>O583-N583</f>
        <v/>
      </c>
      <c r="Q583" s="20">
        <f>P583*E583</f>
        <v/>
      </c>
      <c r="R583" s="20" t="n"/>
    </row>
    <row r="584" ht="20" customHeight="1" s="1">
      <c r="A584" s="21" t="inlineStr">
        <is>
          <t>19585</t>
        </is>
      </c>
      <c r="B584" s="22" t="inlineStr">
        <is>
          <t>Babusqa Aqafi</t>
        </is>
      </c>
      <c r="C584" s="21" t="inlineStr">
        <is>
          <t>4610117500032</t>
        </is>
      </c>
      <c r="D584" s="22" t="inlineStr">
        <is>
          <t>R/B R/B Aqafi Balzam yaicniy pit i vosst 500ml</t>
        </is>
      </c>
      <c r="E584" s="23" t="n">
        <v>4.2</v>
      </c>
      <c r="F584" s="23" t="n">
        <v>12</v>
      </c>
      <c r="G584" s="23" t="n">
        <v>0</v>
      </c>
      <c r="H584" s="23" t="n"/>
      <c r="I584" s="23" t="n"/>
      <c r="J584" s="23" t="n"/>
      <c r="K584" s="19">
        <f>H584+I584+J584</f>
        <v/>
      </c>
      <c r="L584" s="19">
        <f>K584-G584</f>
        <v/>
      </c>
      <c r="M584" s="20">
        <f>L584*E584</f>
        <v/>
      </c>
      <c r="N584" s="20" t="n">
        <v>50</v>
      </c>
      <c r="O584" s="20" t="n"/>
      <c r="P584" s="20">
        <f>O584-N584</f>
        <v/>
      </c>
      <c r="Q584" s="20">
        <f>P584*E584</f>
        <v/>
      </c>
      <c r="R584" s="20" t="n"/>
    </row>
    <row r="585" ht="20" customHeight="1" s="1">
      <c r="A585" s="16" t="inlineStr">
        <is>
          <t>12972</t>
        </is>
      </c>
      <c r="B585" s="17" t="inlineStr">
        <is>
          <t>Babusqa Aqafi</t>
        </is>
      </c>
      <c r="C585" s="16" t="inlineStr">
        <is>
          <t>4607040317370</t>
        </is>
      </c>
      <c r="D585" s="17" t="inlineStr">
        <is>
          <t>R/B Aqafi Sampun Sbor Ukraplenie d/vsex vol 350 ml</t>
        </is>
      </c>
      <c r="E585" s="18" t="n">
        <v>3.6</v>
      </c>
      <c r="F585" s="18" t="n">
        <v>12</v>
      </c>
      <c r="G585" s="18" t="n">
        <v>0</v>
      </c>
      <c r="H585" s="18" t="n"/>
      <c r="I585" s="18" t="n"/>
      <c r="J585" s="18" t="n"/>
      <c r="K585" s="19">
        <f>H585+I585+J585</f>
        <v/>
      </c>
      <c r="L585" s="19">
        <f>K585-G585</f>
        <v/>
      </c>
      <c r="M585" s="20">
        <f>L585*E585</f>
        <v/>
      </c>
      <c r="N585" s="20" t="n">
        <v>50</v>
      </c>
      <c r="O585" s="20" t="n"/>
      <c r="P585" s="20">
        <f>O585-N585</f>
        <v/>
      </c>
      <c r="Q585" s="20">
        <f>P585*E585</f>
        <v/>
      </c>
      <c r="R585" s="20" t="n"/>
    </row>
    <row r="586" ht="20" customHeight="1" s="1">
      <c r="A586" s="21" t="inlineStr">
        <is>
          <t>14616</t>
        </is>
      </c>
      <c r="B586" s="22" t="inlineStr">
        <is>
          <t>Babusqa Aqafi</t>
        </is>
      </c>
      <c r="C586" s="21" t="inlineStr">
        <is>
          <t>4607040317387</t>
        </is>
      </c>
      <c r="D586" s="22" t="inlineStr">
        <is>
          <t>R/B Aqafi Sampun Sbor Pitatelniy d/vsex vol 350 ml</t>
        </is>
      </c>
      <c r="E586" s="23" t="n">
        <v>3.6</v>
      </c>
      <c r="F586" s="23" t="n">
        <v>12</v>
      </c>
      <c r="G586" s="23" t="n">
        <v>0</v>
      </c>
      <c r="H586" s="23" t="n"/>
      <c r="I586" s="23" t="n"/>
      <c r="J586" s="23" t="n"/>
      <c r="K586" s="19">
        <f>H586+I586+J586</f>
        <v/>
      </c>
      <c r="L586" s="19">
        <f>K586-G586</f>
        <v/>
      </c>
      <c r="M586" s="20">
        <f>L586*E586</f>
        <v/>
      </c>
      <c r="N586" s="20" t="n">
        <v>50</v>
      </c>
      <c r="O586" s="20" t="n"/>
      <c r="P586" s="20">
        <f>O586-N586</f>
        <v/>
      </c>
      <c r="Q586" s="20">
        <f>P586*E586</f>
        <v/>
      </c>
      <c r="R586" s="20" t="n"/>
    </row>
    <row r="587" ht="20" customHeight="1" s="1">
      <c r="A587" s="16" t="inlineStr">
        <is>
          <t>12936</t>
        </is>
      </c>
      <c r="B587" s="17" t="inlineStr">
        <is>
          <t>Babusqa Aqafi</t>
        </is>
      </c>
      <c r="C587" s="16" t="inlineStr">
        <is>
          <t>4607040318582</t>
        </is>
      </c>
      <c r="D587" s="17" t="inlineStr">
        <is>
          <t>R/B Aqafi Sampun Qustoy d/tonkix oslab vol 350 ml</t>
        </is>
      </c>
      <c r="E587" s="18" t="n">
        <v>3.98</v>
      </c>
      <c r="F587" s="18" t="n">
        <v>12</v>
      </c>
      <c r="G587" s="18" t="n">
        <v>1</v>
      </c>
      <c r="H587" s="18" t="n"/>
      <c r="I587" s="18" t="n"/>
      <c r="J587" s="18" t="n"/>
      <c r="K587" s="19" t="n"/>
      <c r="L587" s="19" t="n"/>
      <c r="M587" s="20" t="n"/>
      <c r="N587" s="20" t="n">
        <v>50</v>
      </c>
      <c r="O587" s="20" t="n"/>
      <c r="P587" s="20">
        <f>O587-N587</f>
        <v/>
      </c>
      <c r="Q587" s="20">
        <f>P587*E587</f>
        <v/>
      </c>
      <c r="R587" s="20" t="n"/>
    </row>
    <row r="588" ht="20" customHeight="1" s="1">
      <c r="A588" s="21" t="inlineStr">
        <is>
          <t>14086</t>
        </is>
      </c>
      <c r="B588" s="22" t="inlineStr">
        <is>
          <t>Babusqa Aqafi</t>
        </is>
      </c>
      <c r="C588" s="21" t="inlineStr">
        <is>
          <t>4607040318599</t>
        </is>
      </c>
      <c r="D588" s="22" t="inlineStr">
        <is>
          <t>R/B Aqafi Sampun Cerniy d/vsex volos 350 ml</t>
        </is>
      </c>
      <c r="E588" s="23" t="n">
        <v>3.6</v>
      </c>
      <c r="F588" s="23" t="n">
        <v>12</v>
      </c>
      <c r="G588" s="23" t="n">
        <v>1</v>
      </c>
      <c r="H588" s="23" t="n"/>
      <c r="I588" s="23" t="n"/>
      <c r="J588" s="23" t="n"/>
      <c r="K588" s="19" t="n"/>
      <c r="L588" s="19" t="n"/>
      <c r="M588" s="20" t="n"/>
      <c r="N588" s="20" t="n">
        <v>50</v>
      </c>
      <c r="O588" s="20" t="n"/>
      <c r="P588" s="20">
        <f>O588-N588</f>
        <v/>
      </c>
      <c r="Q588" s="20">
        <f>P588*E588</f>
        <v/>
      </c>
      <c r="R588" s="20" t="n"/>
    </row>
    <row r="589" ht="20" customHeight="1" s="1">
      <c r="A589" s="16" t="inlineStr">
        <is>
          <t>17667</t>
        </is>
      </c>
      <c r="B589" s="17" t="inlineStr">
        <is>
          <t>Babusqa Aqafi</t>
        </is>
      </c>
      <c r="C589" s="16" t="inlineStr">
        <is>
          <t>4680007209888</t>
        </is>
      </c>
      <c r="D589" s="17" t="inlineStr">
        <is>
          <t>P.O Pure Qialuronovaya sivorotka d/lica 30ml</t>
        </is>
      </c>
      <c r="E589" s="18" t="n">
        <v>14</v>
      </c>
      <c r="F589" s="18" t="n">
        <v>12</v>
      </c>
      <c r="G589" s="18" t="n">
        <v>0</v>
      </c>
      <c r="H589" s="18" t="n"/>
      <c r="I589" s="18" t="n"/>
      <c r="J589" s="18" t="n"/>
      <c r="K589" s="19">
        <f>H589+I589+J589</f>
        <v/>
      </c>
      <c r="L589" s="19">
        <f>K589-G589</f>
        <v/>
      </c>
      <c r="M589" s="20">
        <f>L589*E589</f>
        <v/>
      </c>
      <c r="N589" s="20" t="n">
        <v>50</v>
      </c>
      <c r="O589" s="20" t="n"/>
      <c r="P589" s="20">
        <f>O589-N589</f>
        <v/>
      </c>
      <c r="Q589" s="20">
        <f>P589*E589</f>
        <v/>
      </c>
      <c r="R589" s="20" t="n"/>
    </row>
    <row r="590" ht="20" customHeight="1" s="1">
      <c r="A590" s="21" t="inlineStr">
        <is>
          <t>17601</t>
        </is>
      </c>
      <c r="B590" s="22" t="inlineStr">
        <is>
          <t>Babusqa Aqafi</t>
        </is>
      </c>
      <c r="C590" s="21" t="inlineStr">
        <is>
          <t>4680007209895</t>
        </is>
      </c>
      <c r="D590" s="22" t="inlineStr">
        <is>
          <t>P.O Pure Kollaqenovaya sivorot d/lica 30ml</t>
        </is>
      </c>
      <c r="E590" s="23" t="n">
        <v>14</v>
      </c>
      <c r="F590" s="23" t="n">
        <v>12</v>
      </c>
      <c r="G590" s="23" t="n">
        <v>0</v>
      </c>
      <c r="H590" s="23" t="n"/>
      <c r="I590" s="23" t="n"/>
      <c r="J590" s="23" t="n"/>
      <c r="K590" s="19">
        <f>H590+I590+J590</f>
        <v/>
      </c>
      <c r="L590" s="19">
        <f>K590-G590</f>
        <v/>
      </c>
      <c r="M590" s="20">
        <f>L590*E590</f>
        <v/>
      </c>
      <c r="N590" s="20" t="n">
        <v>50</v>
      </c>
      <c r="O590" s="20" t="n"/>
      <c r="P590" s="20">
        <f>O590-N590</f>
        <v/>
      </c>
      <c r="Q590" s="20">
        <f>P590*E590</f>
        <v/>
      </c>
      <c r="R590" s="20" t="n"/>
    </row>
    <row r="591" ht="20" customHeight="1" s="1">
      <c r="A591" s="16" t="inlineStr">
        <is>
          <t>13229</t>
        </is>
      </c>
      <c r="B591" s="17" t="inlineStr">
        <is>
          <t>Babusqa Aqafi</t>
        </is>
      </c>
      <c r="C591" s="16" t="inlineStr">
        <is>
          <t>4607040313587</t>
        </is>
      </c>
      <c r="D591" s="17" t="inlineStr">
        <is>
          <t>Aptecka Aqafi Sampun Deqtyarniy Tradision 300 ml</t>
        </is>
      </c>
      <c r="E591" s="18" t="n">
        <v>4.5</v>
      </c>
      <c r="F591" s="18" t="n">
        <v>12</v>
      </c>
      <c r="G591" s="18" t="n">
        <v>0</v>
      </c>
      <c r="H591" s="18" t="n"/>
      <c r="I591" s="18" t="n"/>
      <c r="J591" s="18" t="n"/>
      <c r="K591" s="19">
        <f>H591+I591+J591</f>
        <v/>
      </c>
      <c r="L591" s="19">
        <f>K591-G591</f>
        <v/>
      </c>
      <c r="M591" s="20">
        <f>L591*E591</f>
        <v/>
      </c>
      <c r="N591" s="20" t="n">
        <v>50</v>
      </c>
      <c r="O591" s="20" t="n"/>
      <c r="P591" s="20">
        <f>O591-N591</f>
        <v/>
      </c>
      <c r="Q591" s="20">
        <f>P591*E591</f>
        <v/>
      </c>
      <c r="R591" s="20" t="n"/>
    </row>
    <row r="592" ht="20" customHeight="1" s="1">
      <c r="A592" s="21" t="inlineStr">
        <is>
          <t>13004</t>
        </is>
      </c>
      <c r="B592" s="22" t="inlineStr">
        <is>
          <t>Babusqa Aqafi</t>
        </is>
      </c>
      <c r="C592" s="21" t="inlineStr">
        <is>
          <t>4607040313624</t>
        </is>
      </c>
      <c r="D592" s="22" t="inlineStr">
        <is>
          <t>Aptecka Aqafi Medovo rastit kompleks d/vol 5 ml</t>
        </is>
      </c>
      <c r="E592" s="23" t="n">
        <v>6.8</v>
      </c>
      <c r="F592" s="23" t="n">
        <v>24</v>
      </c>
      <c r="G592" s="23" t="n">
        <v>0</v>
      </c>
      <c r="H592" s="23" t="n"/>
      <c r="I592" s="23" t="n"/>
      <c r="J592" s="23" t="n"/>
      <c r="K592" s="19">
        <f>H592+I592+J592</f>
        <v/>
      </c>
      <c r="L592" s="19">
        <f>K592-G592</f>
        <v/>
      </c>
      <c r="M592" s="20">
        <f>L592*E592</f>
        <v/>
      </c>
      <c r="N592" s="20" t="n">
        <v>50</v>
      </c>
      <c r="O592" s="20" t="n"/>
      <c r="P592" s="20">
        <f>O592-N592</f>
        <v/>
      </c>
      <c r="Q592" s="20">
        <f>P592*E592</f>
        <v/>
      </c>
      <c r="R592" s="20" t="n"/>
    </row>
    <row r="593" ht="20" customHeight="1" s="1">
      <c r="A593" s="16" t="inlineStr">
        <is>
          <t>12845</t>
        </is>
      </c>
      <c r="B593" s="17" t="inlineStr">
        <is>
          <t>Babusqa Aqafi</t>
        </is>
      </c>
      <c r="C593" s="16" t="inlineStr">
        <is>
          <t>4607040313921</t>
        </is>
      </c>
      <c r="D593" s="17" t="inlineStr">
        <is>
          <t>Aptecka Aqafi Sampun dlya Jirniy volos 300 ml</t>
        </is>
      </c>
      <c r="E593" s="18" t="n">
        <v>2.8</v>
      </c>
      <c r="F593" s="18" t="n">
        <v>12</v>
      </c>
      <c r="G593" s="18" t="n">
        <v>0</v>
      </c>
      <c r="H593" s="18" t="n"/>
      <c r="I593" s="18" t="n"/>
      <c r="J593" s="18" t="n"/>
      <c r="K593" s="19">
        <f>H593+I593+J593</f>
        <v/>
      </c>
      <c r="L593" s="19">
        <f>K593-G593</f>
        <v/>
      </c>
      <c r="M593" s="20">
        <f>L593*E593</f>
        <v/>
      </c>
      <c r="N593" s="20" t="n">
        <v>50</v>
      </c>
      <c r="O593" s="20" t="n"/>
      <c r="P593" s="20">
        <f>O593-N593</f>
        <v/>
      </c>
      <c r="Q593" s="20">
        <f>P593*E593</f>
        <v/>
      </c>
      <c r="R593" s="20" t="n"/>
    </row>
    <row r="594" ht="20" customHeight="1" s="1">
      <c r="A594" s="21" t="inlineStr">
        <is>
          <t>19584</t>
        </is>
      </c>
      <c r="B594" s="22" t="inlineStr">
        <is>
          <t>Babusqa Aqafi</t>
        </is>
      </c>
      <c r="C594" s="21" t="inlineStr">
        <is>
          <t>4680019158211</t>
        </is>
      </c>
      <c r="D594" s="22" t="inlineStr">
        <is>
          <t>R/B Aqafi Sampun yaicniy pit i vosst 500ml</t>
        </is>
      </c>
      <c r="E594" s="23" t="n">
        <v>4.2</v>
      </c>
      <c r="F594" s="23" t="n">
        <v>12</v>
      </c>
      <c r="G594" s="23" t="n">
        <v>0</v>
      </c>
      <c r="H594" s="23" t="n"/>
      <c r="I594" s="23" t="n"/>
      <c r="J594" s="23" t="n"/>
      <c r="K594" s="19">
        <f>H594+I594+J594</f>
        <v/>
      </c>
      <c r="L594" s="19">
        <f>K594-G594</f>
        <v/>
      </c>
      <c r="M594" s="20">
        <f>L594*E594</f>
        <v/>
      </c>
      <c r="N594" s="20" t="n">
        <v>50</v>
      </c>
      <c r="O594" s="20" t="n"/>
      <c r="P594" s="20">
        <f>O594-N594</f>
        <v/>
      </c>
      <c r="Q594" s="20">
        <f>P594*E594</f>
        <v/>
      </c>
      <c r="R594" s="20" t="n"/>
    </row>
    <row r="595" ht="20" customHeight="1" s="1">
      <c r="A595" s="16" t="inlineStr">
        <is>
          <t>17360</t>
        </is>
      </c>
      <c r="B595" s="17" t="inlineStr">
        <is>
          <t>Babusqa Aqafi</t>
        </is>
      </c>
      <c r="C595" s="16" t="inlineStr">
        <is>
          <t>4607040312207</t>
        </is>
      </c>
      <c r="D595" s="17" t="inlineStr">
        <is>
          <t>R/B.Aqafi Sol d/vanni uspok Sosnovaya jivica 800ml</t>
        </is>
      </c>
      <c r="E595" s="18" t="n">
        <v>5.2</v>
      </c>
      <c r="F595" s="18" t="n">
        <v>10</v>
      </c>
      <c r="G595" s="18" t="n">
        <v>0</v>
      </c>
      <c r="H595" s="18" t="n"/>
      <c r="I595" s="18" t="n"/>
      <c r="J595" s="18" t="n"/>
      <c r="K595" s="19">
        <f>H595+I595+J595</f>
        <v/>
      </c>
      <c r="L595" s="19">
        <f>K595-G595</f>
        <v/>
      </c>
      <c r="M595" s="20">
        <f>L595*E595</f>
        <v/>
      </c>
      <c r="N595" s="20" t="n">
        <v>50</v>
      </c>
      <c r="O595" s="20" t="n"/>
      <c r="P595" s="20">
        <f>O595-N595</f>
        <v/>
      </c>
      <c r="Q595" s="20">
        <f>P595*E595</f>
        <v/>
      </c>
      <c r="R595" s="20" t="n"/>
    </row>
    <row r="596" ht="20" customHeight="1" s="1">
      <c r="A596" s="21" t="inlineStr">
        <is>
          <t>17357</t>
        </is>
      </c>
      <c r="B596" s="22" t="inlineStr">
        <is>
          <t>Babusqa Aqafi</t>
        </is>
      </c>
      <c r="C596" s="21" t="inlineStr">
        <is>
          <t>4607040312191</t>
        </is>
      </c>
      <c r="D596" s="22" t="inlineStr">
        <is>
          <t>R/B.Aqafi Sol d/vanni omolaji rostki psenici 800ml</t>
        </is>
      </c>
      <c r="E596" s="23" t="n">
        <v>5.2</v>
      </c>
      <c r="F596" s="23" t="n">
        <v>10</v>
      </c>
      <c r="G596" s="23" t="n">
        <v>0</v>
      </c>
      <c r="H596" s="23" t="n"/>
      <c r="I596" s="23" t="n"/>
      <c r="J596" s="23" t="n"/>
      <c r="K596" s="19">
        <f>H596+I596+J596</f>
        <v/>
      </c>
      <c r="L596" s="19">
        <f>K596-G596</f>
        <v/>
      </c>
      <c r="M596" s="20">
        <f>L596*E596</f>
        <v/>
      </c>
      <c r="N596" s="20" t="n">
        <v>50</v>
      </c>
      <c r="O596" s="20" t="n"/>
      <c r="P596" s="20">
        <f>O596-N596</f>
        <v/>
      </c>
      <c r="Q596" s="20">
        <f>P596*E596</f>
        <v/>
      </c>
      <c r="R596" s="20" t="n"/>
    </row>
    <row r="597" ht="20" customHeight="1" s="1">
      <c r="A597" s="16" t="inlineStr">
        <is>
          <t>13064</t>
        </is>
      </c>
      <c r="B597" s="17" t="inlineStr">
        <is>
          <t>Babusqa Aqafi</t>
        </is>
      </c>
      <c r="C597" s="16" t="inlineStr">
        <is>
          <t>4607040310074</t>
        </is>
      </c>
      <c r="D597" s="17" t="inlineStr">
        <is>
          <t>R/B Aqafi Sampun-Balzam Vostana d/vsex vol 350 ml</t>
        </is>
      </c>
      <c r="E597" s="18" t="n">
        <v>2.75</v>
      </c>
      <c r="F597" s="18" t="n">
        <v>12</v>
      </c>
      <c r="G597" s="18" t="n">
        <v>0</v>
      </c>
      <c r="H597" s="18" t="n"/>
      <c r="I597" s="18" t="n"/>
      <c r="J597" s="18" t="n"/>
      <c r="K597" s="19">
        <f>H597+I597+J597</f>
        <v/>
      </c>
      <c r="L597" s="19">
        <f>K597-G597</f>
        <v/>
      </c>
      <c r="M597" s="20">
        <f>L597*E597</f>
        <v/>
      </c>
      <c r="N597" s="20" t="n">
        <v>50</v>
      </c>
      <c r="O597" s="20" t="n"/>
      <c r="P597" s="20">
        <f>O597-N597</f>
        <v/>
      </c>
      <c r="Q597" s="20">
        <f>P597*E597</f>
        <v/>
      </c>
      <c r="R597" s="20" t="n"/>
    </row>
    <row r="598" ht="20" customHeight="1" s="1">
      <c r="A598" s="21" t="inlineStr">
        <is>
          <t>13147</t>
        </is>
      </c>
      <c r="B598" s="22" t="inlineStr">
        <is>
          <t>Babusqa Aqafi</t>
        </is>
      </c>
      <c r="C598" s="21" t="inlineStr">
        <is>
          <t>4607040310012</t>
        </is>
      </c>
      <c r="D598" s="22" t="inlineStr">
        <is>
          <t>R/B Aqafi Sampun Ukreplyayusiy d/vsex vol 350 ml</t>
        </is>
      </c>
      <c r="E598" s="23" t="n">
        <v>2.75</v>
      </c>
      <c r="F598" s="23" t="n">
        <v>12</v>
      </c>
      <c r="G598" s="23" t="n">
        <v>0</v>
      </c>
      <c r="H598" s="23" t="n"/>
      <c r="I598" s="23" t="n"/>
      <c r="J598" s="23" t="n"/>
      <c r="K598" s="19">
        <f>H598+I598+J598</f>
        <v/>
      </c>
      <c r="L598" s="19">
        <f>K598-G598</f>
        <v/>
      </c>
      <c r="M598" s="20">
        <f>L598*E598</f>
        <v/>
      </c>
      <c r="N598" s="20" t="n">
        <v>50</v>
      </c>
      <c r="O598" s="20" t="n"/>
      <c r="P598" s="20">
        <f>O598-N598</f>
        <v/>
      </c>
      <c r="Q598" s="20">
        <f>P598*E598</f>
        <v/>
      </c>
      <c r="R598" s="20" t="n"/>
    </row>
    <row r="599" ht="20" customHeight="1" s="1">
      <c r="A599" s="16" t="inlineStr">
        <is>
          <t>13442</t>
        </is>
      </c>
      <c r="B599" s="17" t="inlineStr">
        <is>
          <t>Babusqa Aqafi</t>
        </is>
      </c>
      <c r="C599" s="16" t="inlineStr">
        <is>
          <t>4630007839233</t>
        </is>
      </c>
      <c r="D599" s="17" t="inlineStr">
        <is>
          <t>R/B Aqafi Qel d/dusa omoloj Moroskoviy 280 ml</t>
        </is>
      </c>
      <c r="E599" s="18" t="n">
        <v>1.5</v>
      </c>
      <c r="F599" s="18" t="n">
        <v>12</v>
      </c>
      <c r="G599" s="18" t="n">
        <v>0</v>
      </c>
      <c r="H599" s="18" t="n"/>
      <c r="I599" s="18" t="n"/>
      <c r="J599" s="18" t="n"/>
      <c r="K599" s="19">
        <f>H599+I599+J599</f>
        <v/>
      </c>
      <c r="L599" s="19">
        <f>K599-G599</f>
        <v/>
      </c>
      <c r="M599" s="20">
        <f>L599*E599</f>
        <v/>
      </c>
      <c r="N599" s="20" t="n">
        <v>50</v>
      </c>
      <c r="O599" s="20" t="n"/>
      <c r="P599" s="20">
        <f>O599-N599</f>
        <v/>
      </c>
      <c r="Q599" s="20">
        <f>P599*E599</f>
        <v/>
      </c>
      <c r="R599" s="20" t="n"/>
    </row>
    <row r="600" ht="20" customHeight="1" s="1">
      <c r="A600" s="21" t="inlineStr">
        <is>
          <t>13982</t>
        </is>
      </c>
      <c r="B600" s="22" t="inlineStr">
        <is>
          <t>Babusqa Aqafi</t>
        </is>
      </c>
      <c r="C600" s="21" t="inlineStr">
        <is>
          <t>4630007839226</t>
        </is>
      </c>
      <c r="D600" s="22" t="inlineStr">
        <is>
          <t>R/B Aqafi Qel d/dusa vitamin Oblepixoviy 280 ml</t>
        </is>
      </c>
      <c r="E600" s="23" t="n">
        <v>1.5</v>
      </c>
      <c r="F600" s="23" t="n">
        <v>12</v>
      </c>
      <c r="G600" s="23" t="n">
        <v>0</v>
      </c>
      <c r="H600" s="23" t="n"/>
      <c r="I600" s="23" t="n"/>
      <c r="J600" s="23" t="n"/>
      <c r="K600" s="19">
        <f>H600+I600+J600</f>
        <v/>
      </c>
      <c r="L600" s="19">
        <f>K600-G600</f>
        <v/>
      </c>
      <c r="M600" s="20">
        <f>L600*E600</f>
        <v/>
      </c>
      <c r="N600" s="20" t="n">
        <v>50</v>
      </c>
      <c r="O600" s="20" t="n"/>
      <c r="P600" s="20">
        <f>O600-N600</f>
        <v/>
      </c>
      <c r="Q600" s="20">
        <f>P600*E600</f>
        <v/>
      </c>
      <c r="R600" s="20" t="n"/>
    </row>
    <row r="601" ht="20" customHeight="1" s="1">
      <c r="A601" s="16" t="inlineStr">
        <is>
          <t>22085</t>
        </is>
      </c>
      <c r="B601" s="17" t="inlineStr">
        <is>
          <t>LLC Sabrise</t>
        </is>
      </c>
      <c r="C601" s="16" t="inlineStr">
        <is>
          <t>4820184441668</t>
        </is>
      </c>
      <c r="D601" s="17" t="inlineStr">
        <is>
          <t>Walkin mum hamar sethli ayaqqabi ucun qabdada qara 75ml</t>
        </is>
      </c>
      <c r="E601" s="18" t="n">
        <v>3.8</v>
      </c>
      <c r="F601" s="18" t="n">
        <v>144</v>
      </c>
      <c r="G601" s="18" t="n">
        <v>346</v>
      </c>
      <c r="H601" s="18" t="n">
        <v>346</v>
      </c>
      <c r="I601" s="18" t="n"/>
      <c r="J601" s="18" t="n"/>
      <c r="K601" s="19">
        <f>H601+I601+J601</f>
        <v/>
      </c>
      <c r="L601" s="19">
        <f>K601-G601</f>
        <v/>
      </c>
      <c r="M601" s="20">
        <f>L601*E601</f>
        <v/>
      </c>
      <c r="N601" s="20" t="n">
        <v>50</v>
      </c>
      <c r="O601" s="20" t="n"/>
      <c r="P601" s="20">
        <f>O601-N601</f>
        <v/>
      </c>
      <c r="Q601" s="20">
        <f>P601*E601</f>
        <v/>
      </c>
      <c r="R601" s="20" t="n"/>
    </row>
    <row r="602" ht="20" customHeight="1" s="1">
      <c r="A602" s="21" t="inlineStr">
        <is>
          <t>22086</t>
        </is>
      </c>
      <c r="B602" s="22" t="inlineStr">
        <is>
          <t>LLC Sabrise</t>
        </is>
      </c>
      <c r="C602" s="21" t="inlineStr">
        <is>
          <t>4820184441675</t>
        </is>
      </c>
      <c r="D602" s="22" t="inlineStr">
        <is>
          <t>Walkin mum hamar sethli ayaqqabi ucun qabdada seffaf 75ml</t>
        </is>
      </c>
      <c r="E602" s="23" t="n">
        <v>3.8</v>
      </c>
      <c r="F602" s="23" t="n">
        <v>144</v>
      </c>
      <c r="G602" s="23" t="n">
        <v>222</v>
      </c>
      <c r="H602" s="23" t="n">
        <v>222</v>
      </c>
      <c r="I602" s="23" t="n"/>
      <c r="J602" s="23" t="n"/>
      <c r="K602" s="19">
        <f>H602+I602+J602</f>
        <v/>
      </c>
      <c r="L602" s="19">
        <f>K602-G602</f>
        <v/>
      </c>
      <c r="M602" s="20">
        <f>L602*E602</f>
        <v/>
      </c>
      <c r="N602" s="20" t="n">
        <v>50</v>
      </c>
      <c r="O602" s="20" t="n"/>
      <c r="P602" s="20">
        <f>O602-N602</f>
        <v/>
      </c>
      <c r="Q602" s="20">
        <f>P602*E602</f>
        <v/>
      </c>
      <c r="R602" s="20" t="n"/>
    </row>
    <row r="603" ht="20" customHeight="1" s="1">
      <c r="A603" s="16" t="inlineStr">
        <is>
          <t>22084</t>
        </is>
      </c>
      <c r="B603" s="17" t="inlineStr">
        <is>
          <t>LLC Sabrise</t>
        </is>
      </c>
      <c r="C603" s="16" t="inlineStr">
        <is>
          <t>4820184441613</t>
        </is>
      </c>
      <c r="D603" s="17" t="inlineStr">
        <is>
          <t>Walkin krem boya hamar sethli ayaqqabi qabdada qara 50ml</t>
        </is>
      </c>
      <c r="E603" s="18" t="n">
        <v>2.6</v>
      </c>
      <c r="F603" s="18" t="n">
        <v>144</v>
      </c>
      <c r="G603" s="18" t="n">
        <v>347</v>
      </c>
      <c r="H603" s="18" t="n">
        <v>347</v>
      </c>
      <c r="I603" s="18" t="n"/>
      <c r="J603" s="18" t="n"/>
      <c r="K603" s="19">
        <f>H603+I603+J603</f>
        <v/>
      </c>
      <c r="L603" s="19">
        <f>K603-G603</f>
        <v/>
      </c>
      <c r="M603" s="20">
        <f>L603*E603</f>
        <v/>
      </c>
      <c r="N603" s="20" t="n">
        <v>50</v>
      </c>
      <c r="O603" s="20" t="n"/>
      <c r="P603" s="20">
        <f>O603-N603</f>
        <v/>
      </c>
      <c r="Q603" s="20">
        <f>P603*E603</f>
        <v/>
      </c>
      <c r="R603" s="20" t="n"/>
    </row>
    <row r="604" ht="20" customHeight="1" s="1">
      <c r="A604" s="21" t="inlineStr">
        <is>
          <t>22081</t>
        </is>
      </c>
      <c r="B604" s="22" t="inlineStr">
        <is>
          <t>LLC Sabrise</t>
        </is>
      </c>
      <c r="C604" s="21" t="inlineStr">
        <is>
          <t>4820184442047</t>
        </is>
      </c>
      <c r="D604" s="22" t="inlineStr">
        <is>
          <t>Walkin sungerli krem boya hamar sethli ayaqqabi qara 50ml</t>
        </is>
      </c>
      <c r="E604" s="23" t="n">
        <v>2.6</v>
      </c>
      <c r="F604" s="23" t="n">
        <v>96</v>
      </c>
      <c r="G604" s="23" t="n">
        <v>175</v>
      </c>
      <c r="H604" s="23" t="n">
        <v>175</v>
      </c>
      <c r="I604" s="23" t="n"/>
      <c r="J604" s="23" t="n"/>
      <c r="K604" s="19">
        <f>H604+I604+J604</f>
        <v/>
      </c>
      <c r="L604" s="19">
        <f>K604-G604</f>
        <v/>
      </c>
      <c r="M604" s="20">
        <f>L604*E604</f>
        <v/>
      </c>
      <c r="N604" s="20" t="n">
        <v>50</v>
      </c>
      <c r="O604" s="20" t="n"/>
      <c r="P604" s="20">
        <f>O604-N604</f>
        <v/>
      </c>
      <c r="Q604" s="20">
        <f>P604*E604</f>
        <v/>
      </c>
      <c r="R604" s="20" t="n"/>
    </row>
    <row r="605" ht="20" customHeight="1" s="1">
      <c r="A605" s="16" t="inlineStr">
        <is>
          <t>22080</t>
        </is>
      </c>
      <c r="B605" s="17" t="inlineStr">
        <is>
          <t>LLC Sabrise</t>
        </is>
      </c>
      <c r="C605" s="16" t="inlineStr">
        <is>
          <t>4820184442054</t>
        </is>
      </c>
      <c r="D605" s="17" t="inlineStr">
        <is>
          <t>Walkin sungerli krem boya hamar sethli ayaqqabi seffaf 50ml</t>
        </is>
      </c>
      <c r="E605" s="18" t="n">
        <v>2.6</v>
      </c>
      <c r="F605" s="18" t="n">
        <v>96</v>
      </c>
      <c r="G605" s="18" t="n">
        <v>101</v>
      </c>
      <c r="H605" s="18" t="n">
        <v>101</v>
      </c>
      <c r="I605" s="18" t="n"/>
      <c r="J605" s="18" t="n"/>
      <c r="K605" s="19">
        <f>H605+I605+J605</f>
        <v/>
      </c>
      <c r="L605" s="19">
        <f>K605-G605</f>
        <v/>
      </c>
      <c r="M605" s="20">
        <f>L605*E605</f>
        <v/>
      </c>
      <c r="N605" s="20" t="n">
        <v>50</v>
      </c>
      <c r="O605" s="20" t="n"/>
      <c r="P605" s="20">
        <f>O605-N605</f>
        <v/>
      </c>
      <c r="Q605" s="20">
        <f>P605*E605</f>
        <v/>
      </c>
      <c r="R605" s="20" t="n"/>
    </row>
    <row r="606" ht="20" customHeight="1" s="1">
      <c r="A606" s="21" t="inlineStr">
        <is>
          <t>22076</t>
        </is>
      </c>
      <c r="B606" s="22" t="inlineStr">
        <is>
          <t>LLC Sabrise</t>
        </is>
      </c>
      <c r="C606" s="21" t="inlineStr">
        <is>
          <t>4820184441620</t>
        </is>
      </c>
      <c r="D606" s="22" t="inlineStr">
        <is>
          <t>Walkin dalgali sunger hamar deriye seffaf</t>
        </is>
      </c>
      <c r="E606" s="23" t="n">
        <v>2.3</v>
      </c>
      <c r="F606" s="23" t="n">
        <v>72</v>
      </c>
      <c r="G606" s="23" t="n">
        <v>93</v>
      </c>
      <c r="H606" s="23" t="n">
        <v>93</v>
      </c>
      <c r="I606" s="23" t="n"/>
      <c r="J606" s="23" t="n"/>
      <c r="K606" s="19">
        <f>H606+I606+J606</f>
        <v/>
      </c>
      <c r="L606" s="19">
        <f>K606-G606</f>
        <v/>
      </c>
      <c r="M606" s="20">
        <f>L606*E606</f>
        <v/>
      </c>
      <c r="N606" s="20" t="n">
        <v>50</v>
      </c>
      <c r="O606" s="20" t="n"/>
      <c r="P606" s="20">
        <f>O606-N606</f>
        <v/>
      </c>
      <c r="Q606" s="20">
        <f>P606*E606</f>
        <v/>
      </c>
      <c r="R606" s="20" t="n"/>
    </row>
    <row r="607" ht="20" customHeight="1" s="1">
      <c r="A607" s="16" t="inlineStr">
        <is>
          <t>22075</t>
        </is>
      </c>
      <c r="B607" s="17" t="inlineStr">
        <is>
          <t>LLC Sabrise</t>
        </is>
      </c>
      <c r="C607" s="16" t="inlineStr">
        <is>
          <t>4820184441637</t>
        </is>
      </c>
      <c r="D607" s="17" t="inlineStr">
        <is>
          <t>Walkin dalgali sunger hamar deriye qara</t>
        </is>
      </c>
      <c r="E607" s="18" t="n">
        <v>2.3</v>
      </c>
      <c r="F607" s="18" t="n">
        <v>72</v>
      </c>
      <c r="G607" s="18" t="n">
        <v>75</v>
      </c>
      <c r="H607" s="18" t="n">
        <v>75</v>
      </c>
      <c r="I607" s="18" t="n"/>
      <c r="J607" s="18" t="n"/>
      <c r="K607" s="19">
        <f>H607+I607+J607</f>
        <v/>
      </c>
      <c r="L607" s="19">
        <f>K607-G607</f>
        <v/>
      </c>
      <c r="M607" s="20">
        <f>L607*E607</f>
        <v/>
      </c>
      <c r="N607" s="20" t="n">
        <v>50</v>
      </c>
      <c r="O607" s="20" t="n"/>
      <c r="P607" s="20">
        <f>O607-N607</f>
        <v/>
      </c>
      <c r="Q607" s="20">
        <f>P607*E607</f>
        <v/>
      </c>
      <c r="R607" s="20" t="n"/>
    </row>
    <row r="608" ht="20" customHeight="1" s="1">
      <c r="A608" s="21" t="inlineStr">
        <is>
          <t>22078</t>
        </is>
      </c>
      <c r="B608" s="22" t="inlineStr">
        <is>
          <t>LLC Sabrise</t>
        </is>
      </c>
      <c r="C608" s="21" t="inlineStr">
        <is>
          <t>4820184442566</t>
        </is>
      </c>
      <c r="D608" s="22" t="inlineStr">
        <is>
          <t>Walkin Active dalgali sunger hamar deriye ag</t>
        </is>
      </c>
      <c r="E608" s="23" t="n">
        <v>3.3</v>
      </c>
      <c r="F608" s="23" t="n">
        <v>72</v>
      </c>
      <c r="G608" s="23" t="n">
        <v>87</v>
      </c>
      <c r="H608" s="23" t="n">
        <v>87</v>
      </c>
      <c r="I608" s="23" t="n"/>
      <c r="J608" s="23" t="n"/>
      <c r="K608" s="19">
        <f>H608+I608+J608</f>
        <v/>
      </c>
      <c r="L608" s="19">
        <f>K608-G608</f>
        <v/>
      </c>
      <c r="M608" s="20">
        <f>L608*E608</f>
        <v/>
      </c>
      <c r="N608" s="20" t="n">
        <v>50</v>
      </c>
      <c r="O608" s="20" t="n"/>
      <c r="P608" s="20">
        <f>O608-N608</f>
        <v/>
      </c>
      <c r="Q608" s="20">
        <f>P608*E608</f>
        <v/>
      </c>
      <c r="R608" s="20" t="n"/>
    </row>
    <row r="609" ht="20" customHeight="1" s="1">
      <c r="A609" s="16" t="inlineStr">
        <is>
          <t>22074</t>
        </is>
      </c>
      <c r="B609" s="17" t="inlineStr">
        <is>
          <t>LLC Sabrise</t>
        </is>
      </c>
      <c r="C609" s="16" t="inlineStr">
        <is>
          <t>4820184441651</t>
        </is>
      </c>
      <c r="D609" s="17" t="inlineStr">
        <is>
          <t>Walkin dozatorlu sunger hamar deriye qara</t>
        </is>
      </c>
      <c r="E609" s="18" t="n">
        <v>6.5</v>
      </c>
      <c r="F609" s="18" t="n">
        <v>12</v>
      </c>
      <c r="G609" s="18" t="n">
        <v>53</v>
      </c>
      <c r="H609" s="18" t="n">
        <v>53</v>
      </c>
      <c r="I609" s="18" t="n"/>
      <c r="J609" s="18" t="n"/>
      <c r="K609" s="19">
        <f>H609+I609+J609</f>
        <v/>
      </c>
      <c r="L609" s="19">
        <f>K609-G609</f>
        <v/>
      </c>
      <c r="M609" s="20">
        <f>L609*E609</f>
        <v/>
      </c>
      <c r="N609" s="20" t="n">
        <v>50</v>
      </c>
      <c r="O609" s="20" t="n"/>
      <c r="P609" s="20">
        <f>O609-N609</f>
        <v/>
      </c>
      <c r="Q609" s="20">
        <f>P609*E609</f>
        <v/>
      </c>
      <c r="R609" s="20" t="n"/>
    </row>
    <row r="610" ht="20" customHeight="1" s="1">
      <c r="A610" s="21" t="inlineStr">
        <is>
          <t>22068</t>
        </is>
      </c>
      <c r="B610" s="22" t="inlineStr">
        <is>
          <t>LLC Sabrise</t>
        </is>
      </c>
      <c r="C610" s="21" t="inlineStr">
        <is>
          <t>4820184442160</t>
        </is>
      </c>
      <c r="D610" s="22" t="inlineStr">
        <is>
          <t>Walkin dezodorant ayyaqabi ucun 150ml</t>
        </is>
      </c>
      <c r="E610" s="23" t="n">
        <v>6.7</v>
      </c>
      <c r="F610" s="23" t="n">
        <v>12</v>
      </c>
      <c r="G610" s="23" t="n">
        <v>34</v>
      </c>
      <c r="H610" s="23" t="n">
        <v>34</v>
      </c>
      <c r="I610" s="23" t="n"/>
      <c r="J610" s="23" t="n"/>
      <c r="K610" s="19">
        <f>H610+I610+J610</f>
        <v/>
      </c>
      <c r="L610" s="19">
        <f>K610-G610</f>
        <v/>
      </c>
      <c r="M610" s="20">
        <f>L610*E610</f>
        <v/>
      </c>
      <c r="N610" s="20" t="n">
        <v>50</v>
      </c>
      <c r="O610" s="20" t="n"/>
      <c r="P610" s="20">
        <f>O610-N610</f>
        <v/>
      </c>
      <c r="Q610" s="20">
        <f>P610*E610</f>
        <v/>
      </c>
      <c r="R610" s="20" t="n"/>
    </row>
    <row r="611" ht="20" customHeight="1" s="1">
      <c r="A611" s="16" t="inlineStr">
        <is>
          <t>22052</t>
        </is>
      </c>
      <c r="B611" s="17" t="inlineStr">
        <is>
          <t>LLC Sabrise</t>
        </is>
      </c>
      <c r="C611" s="16" t="inlineStr">
        <is>
          <t>4820184442658</t>
        </is>
      </c>
      <c r="D611" s="17" t="inlineStr">
        <is>
          <t>Irex aerozol universal 17 nov heserat ucun 275ml</t>
        </is>
      </c>
      <c r="E611" s="18" t="n">
        <v>6.7</v>
      </c>
      <c r="F611" s="18" t="n">
        <v>12</v>
      </c>
      <c r="G611" s="18" t="n">
        <v>24</v>
      </c>
      <c r="H611" s="18" t="n">
        <v>24</v>
      </c>
      <c r="I611" s="18" t="n"/>
      <c r="J611" s="18" t="n"/>
      <c r="K611" s="19">
        <f>H611+I611+J611</f>
        <v/>
      </c>
      <c r="L611" s="19">
        <f>K611-G611</f>
        <v/>
      </c>
      <c r="M611" s="20">
        <f>L611*E611</f>
        <v/>
      </c>
      <c r="N611" s="20" t="n">
        <v>50</v>
      </c>
      <c r="O611" s="20" t="n"/>
      <c r="P611" s="20">
        <f>O611-N611</f>
        <v/>
      </c>
      <c r="Q611" s="20">
        <f>P611*E611</f>
        <v/>
      </c>
      <c r="R611" s="20" t="n"/>
    </row>
    <row r="612" ht="20" customHeight="1" s="1">
      <c r="A612" s="21" t="inlineStr">
        <is>
          <t>22053</t>
        </is>
      </c>
      <c r="B612" s="22" t="inlineStr">
        <is>
          <t>LLC Sabrise</t>
        </is>
      </c>
      <c r="C612" s="21" t="inlineStr">
        <is>
          <t>4820184442238</t>
        </is>
      </c>
      <c r="D612" s="22" t="inlineStr">
        <is>
          <t>Irex aetozol surunenler ucun 275ml</t>
        </is>
      </c>
      <c r="E612" s="23" t="n">
        <v>6.7</v>
      </c>
      <c r="F612" s="23" t="n">
        <v>12</v>
      </c>
      <c r="G612" s="23" t="n">
        <v>24</v>
      </c>
      <c r="H612" s="23" t="n">
        <v>24</v>
      </c>
      <c r="I612" s="23" t="n"/>
      <c r="J612" s="23" t="n"/>
      <c r="K612" s="19">
        <f>H612+I612+J612</f>
        <v/>
      </c>
      <c r="L612" s="19">
        <f>K612-G612</f>
        <v/>
      </c>
      <c r="M612" s="20">
        <f>L612*E612</f>
        <v/>
      </c>
      <c r="N612" s="20" t="n">
        <v>50</v>
      </c>
      <c r="O612" s="20" t="n"/>
      <c r="P612" s="20">
        <f>O612-N612</f>
        <v/>
      </c>
      <c r="Q612" s="20">
        <f>P612*E612</f>
        <v/>
      </c>
      <c r="R612" s="20" t="n"/>
    </row>
    <row r="613" ht="20" customHeight="1" s="1">
      <c r="A613" s="16" t="inlineStr">
        <is>
          <t>22049</t>
        </is>
      </c>
      <c r="B613" s="17" t="inlineStr">
        <is>
          <t>LLC Sabrise</t>
        </is>
      </c>
      <c r="C613" s="16" t="inlineStr">
        <is>
          <t>4820184442221</t>
        </is>
      </c>
      <c r="D613" s="17" t="inlineStr">
        <is>
          <t>Irex guve spreyi limon etirli 150ml</t>
        </is>
      </c>
      <c r="E613" s="18" t="n">
        <v>5.7</v>
      </c>
      <c r="F613" s="18" t="n">
        <v>12</v>
      </c>
      <c r="G613" s="18" t="n">
        <v>70</v>
      </c>
      <c r="H613" s="18" t="n">
        <v>70</v>
      </c>
      <c r="I613" s="18" t="n"/>
      <c r="J613" s="18" t="n"/>
      <c r="K613" s="19">
        <f>H613+I613+J613</f>
        <v/>
      </c>
      <c r="L613" s="19">
        <f>K613-G613</f>
        <v/>
      </c>
      <c r="M613" s="20">
        <f>L613*E613</f>
        <v/>
      </c>
      <c r="N613" s="20" t="n">
        <v>50</v>
      </c>
      <c r="O613" s="20" t="n"/>
      <c r="P613" s="20">
        <f>O613-N613</f>
        <v/>
      </c>
      <c r="Q613" s="20">
        <f>P613*E613</f>
        <v/>
      </c>
      <c r="R613" s="20" t="n"/>
    </row>
    <row r="614" ht="20" customHeight="1" s="1">
      <c r="A614" s="21" t="inlineStr">
        <is>
          <t>22060</t>
        </is>
      </c>
      <c r="B614" s="22" t="inlineStr">
        <is>
          <t>LLC Sabrise</t>
        </is>
      </c>
      <c r="C614" s="21" t="inlineStr">
        <is>
          <t>4820184442009</t>
        </is>
      </c>
      <c r="D614" s="22" t="inlineStr">
        <is>
          <t>Irex sican ve sicovul ucun pasta 100qr</t>
        </is>
      </c>
      <c r="E614" s="23" t="n">
        <v>2.5</v>
      </c>
      <c r="F614" s="23" t="n">
        <v>12</v>
      </c>
      <c r="G614" s="23" t="n">
        <v>24</v>
      </c>
      <c r="H614" s="23" t="n">
        <v>24</v>
      </c>
      <c r="I614" s="23" t="n"/>
      <c r="J614" s="23" t="n"/>
      <c r="K614" s="19">
        <f>H614+I614+J614</f>
        <v/>
      </c>
      <c r="L614" s="19">
        <f>K614-G614</f>
        <v/>
      </c>
      <c r="M614" s="20">
        <f>L614*E614</f>
        <v/>
      </c>
      <c r="N614" s="20" t="n">
        <v>50</v>
      </c>
      <c r="O614" s="20" t="n"/>
      <c r="P614" s="20">
        <f>O614-N614</f>
        <v/>
      </c>
      <c r="Q614" s="20">
        <f>P614*E614</f>
        <v/>
      </c>
      <c r="R614" s="20" t="n"/>
    </row>
    <row r="615" ht="20" customHeight="1" s="1">
      <c r="A615" s="16" t="inlineStr">
        <is>
          <t>22058</t>
        </is>
      </c>
      <c r="B615" s="17" t="inlineStr">
        <is>
          <t>LLC Sabrise</t>
        </is>
      </c>
      <c r="C615" s="16" t="inlineStr">
        <is>
          <t>4820184441941</t>
        </is>
      </c>
      <c r="D615" s="17" t="inlineStr">
        <is>
          <t>Irex sican ve sicovul ucun qranul 100qr</t>
        </is>
      </c>
      <c r="E615" s="18" t="n">
        <v>1.8</v>
      </c>
      <c r="F615" s="18" t="n">
        <v>12</v>
      </c>
      <c r="G615" s="18" t="n">
        <v>53</v>
      </c>
      <c r="H615" s="18" t="n">
        <v>53</v>
      </c>
      <c r="I615" s="18" t="n"/>
      <c r="J615" s="18" t="n"/>
      <c r="K615" s="19">
        <f>H615+I615+J615</f>
        <v/>
      </c>
      <c r="L615" s="19">
        <f>K615-G615</f>
        <v/>
      </c>
      <c r="M615" s="20">
        <f>L615*E615</f>
        <v/>
      </c>
      <c r="N615" s="20" t="n">
        <v>50</v>
      </c>
      <c r="O615" s="20" t="n"/>
      <c r="P615" s="20">
        <f>O615-N615</f>
        <v/>
      </c>
      <c r="Q615" s="20">
        <f>P615*E615</f>
        <v/>
      </c>
      <c r="R615" s="20" t="n"/>
    </row>
    <row r="616" ht="20" customHeight="1" s="1">
      <c r="A616" s="21" t="inlineStr">
        <is>
          <t>22059</t>
        </is>
      </c>
      <c r="B616" s="22" t="inlineStr">
        <is>
          <t>LLC Sabrise</t>
        </is>
      </c>
      <c r="C616" s="21" t="inlineStr">
        <is>
          <t>4820184441972</t>
        </is>
      </c>
      <c r="D616" s="22" t="inlineStr">
        <is>
          <t>Irex sican ve sicovul ucun den 100qr</t>
        </is>
      </c>
      <c r="E616" s="23" t="n">
        <v>1.5</v>
      </c>
      <c r="F616" s="23" t="n">
        <v>12</v>
      </c>
      <c r="G616" s="23" t="n">
        <v>187</v>
      </c>
      <c r="H616" s="23" t="n">
        <v>187</v>
      </c>
      <c r="I616" s="23" t="n"/>
      <c r="J616" s="23" t="n"/>
      <c r="K616" s="19">
        <f>H616+I616+J616</f>
        <v/>
      </c>
      <c r="L616" s="19">
        <f>K616-G616</f>
        <v/>
      </c>
      <c r="M616" s="20">
        <f>L616*E616</f>
        <v/>
      </c>
      <c r="N616" s="20" t="n">
        <v>50</v>
      </c>
      <c r="O616" s="20" t="n"/>
      <c r="P616" s="20">
        <f>O616-N616</f>
        <v/>
      </c>
      <c r="Q616" s="20">
        <f>P616*E616</f>
        <v/>
      </c>
      <c r="R616" s="20" t="n"/>
    </row>
    <row r="617" ht="20" customHeight="1" s="1">
      <c r="A617" s="16" t="inlineStr">
        <is>
          <t>22061</t>
        </is>
      </c>
      <c r="B617" s="17" t="inlineStr">
        <is>
          <t>LLC Sabrise</t>
        </is>
      </c>
      <c r="C617" s="16" t="inlineStr">
        <is>
          <t>4820184441934</t>
        </is>
      </c>
      <c r="D617" s="17" t="inlineStr">
        <is>
          <t>Irex sican ve sicovullar ucun parafinli briket 250qr</t>
        </is>
      </c>
      <c r="E617" s="18" t="n">
        <v>4.8</v>
      </c>
      <c r="F617" s="18" t="n">
        <v>12</v>
      </c>
      <c r="G617" s="18" t="n">
        <v>13</v>
      </c>
      <c r="H617" s="18" t="n">
        <v>13</v>
      </c>
      <c r="I617" s="18" t="n"/>
      <c r="J617" s="18" t="n"/>
      <c r="K617" s="19">
        <f>H617+I617+J617</f>
        <v/>
      </c>
      <c r="L617" s="19">
        <f>K617-G617</f>
        <v/>
      </c>
      <c r="M617" s="20">
        <f>L617*E617</f>
        <v/>
      </c>
      <c r="N617" s="20" t="n">
        <v>50</v>
      </c>
      <c r="O617" s="20" t="n"/>
      <c r="P617" s="20">
        <f>O617-N617</f>
        <v/>
      </c>
      <c r="Q617" s="20">
        <f>P617*E617</f>
        <v/>
      </c>
      <c r="R617" s="20" t="n"/>
    </row>
    <row r="618" ht="20" customHeight="1" s="1">
      <c r="A618" s="21" t="inlineStr">
        <is>
          <t>22054</t>
        </is>
      </c>
      <c r="B618" s="22" t="inlineStr">
        <is>
          <t>LLC Sabrise</t>
        </is>
      </c>
      <c r="C618" s="21" t="inlineStr">
        <is>
          <t>4820184441422</t>
        </is>
      </c>
      <c r="D618" s="22" t="inlineStr">
        <is>
          <t>Irex qida guvesi telesi qoxusuz 2eded</t>
        </is>
      </c>
      <c r="E618" s="23" t="n">
        <v>4.7</v>
      </c>
      <c r="F618" s="23" t="n">
        <v>48</v>
      </c>
      <c r="G618" s="23" t="n">
        <v>0</v>
      </c>
      <c r="H618" s="23" t="n">
        <v>0</v>
      </c>
      <c r="I618" s="23" t="n"/>
      <c r="J618" s="23" t="n"/>
      <c r="K618" s="19">
        <f>H618+I618+J618</f>
        <v/>
      </c>
      <c r="L618" s="19">
        <f>K618-G618</f>
        <v/>
      </c>
      <c r="M618" s="20">
        <f>L618*E618</f>
        <v/>
      </c>
      <c r="N618" s="20" t="n">
        <v>50</v>
      </c>
      <c r="O618" s="20" t="n"/>
      <c r="P618" s="20">
        <f>O618-N618</f>
        <v/>
      </c>
      <c r="Q618" s="20">
        <f>P618*E618</f>
        <v/>
      </c>
      <c r="R618" s="20" t="n"/>
    </row>
    <row r="619" ht="20" customHeight="1" s="1">
      <c r="A619" s="16" t="inlineStr">
        <is>
          <t>22055</t>
        </is>
      </c>
      <c r="B619" s="17" t="inlineStr">
        <is>
          <t>LLC Sabrise</t>
        </is>
      </c>
      <c r="C619" s="16" t="inlineStr">
        <is>
          <t>4820184442580</t>
        </is>
      </c>
      <c r="D619" s="17" t="inlineStr">
        <is>
          <t>Irex geyim guvesi telesi qoxusuz 2eded</t>
        </is>
      </c>
      <c r="E619" s="18" t="n">
        <v>5.6</v>
      </c>
      <c r="F619" s="18" t="n">
        <v>48</v>
      </c>
      <c r="G619" s="18" t="n">
        <v>0</v>
      </c>
      <c r="H619" s="18" t="n">
        <v>0</v>
      </c>
      <c r="I619" s="18" t="n"/>
      <c r="J619" s="18" t="n"/>
      <c r="K619" s="19">
        <f>H619+I619+J619</f>
        <v/>
      </c>
      <c r="L619" s="19">
        <f>K619-G619</f>
        <v/>
      </c>
      <c r="M619" s="20">
        <f>L619*E619</f>
        <v/>
      </c>
      <c r="N619" s="20" t="n">
        <v>50</v>
      </c>
      <c r="O619" s="20" t="n"/>
      <c r="P619" s="20">
        <f>O619-N619</f>
        <v/>
      </c>
      <c r="Q619" s="20">
        <f>P619*E619</f>
        <v/>
      </c>
      <c r="R619" s="20" t="n"/>
    </row>
    <row r="620" ht="20" customHeight="1" s="1">
      <c r="A620" s="21" t="inlineStr">
        <is>
          <t>22056</t>
        </is>
      </c>
      <c r="B620" s="22" t="inlineStr">
        <is>
          <t>LLC Sabrise</t>
        </is>
      </c>
      <c r="C620" s="21" t="inlineStr">
        <is>
          <t>4820184442672</t>
        </is>
      </c>
      <c r="D620" s="22" t="inlineStr">
        <is>
          <t>Irex tarakan ve qarisqalar ucun yapisqanli tele</t>
        </is>
      </c>
      <c r="E620" s="23" t="n">
        <v>3.8</v>
      </c>
      <c r="F620" s="23" t="n">
        <v>48</v>
      </c>
      <c r="G620" s="23" t="n">
        <v>48</v>
      </c>
      <c r="H620" s="23" t="n">
        <v>48</v>
      </c>
      <c r="I620" s="23" t="n"/>
      <c r="J620" s="23" t="n"/>
      <c r="K620" s="19">
        <f>H620+I620+J620</f>
        <v/>
      </c>
      <c r="L620" s="19">
        <f>K620-G620</f>
        <v/>
      </c>
      <c r="M620" s="20">
        <f>L620*E620</f>
        <v/>
      </c>
      <c r="N620" s="20" t="n">
        <v>50</v>
      </c>
      <c r="O620" s="20" t="n"/>
      <c r="P620" s="20">
        <f>O620-N620</f>
        <v/>
      </c>
      <c r="Q620" s="20">
        <f>P620*E620</f>
        <v/>
      </c>
      <c r="R620" s="20" t="n"/>
    </row>
    <row r="621" ht="20" customHeight="1" s="1">
      <c r="A621" s="16" t="inlineStr">
        <is>
          <t>22050</t>
        </is>
      </c>
      <c r="B621" s="17" t="inlineStr">
        <is>
          <t>LLC Sabrise</t>
        </is>
      </c>
      <c r="C621" s="16" t="inlineStr">
        <is>
          <t>4820184441279</t>
        </is>
      </c>
      <c r="D621" s="17" t="inlineStr">
        <is>
          <t>Irex tarakan ucun gel tubikde 75ml</t>
        </is>
      </c>
      <c r="E621" s="18" t="n">
        <v>6.8</v>
      </c>
      <c r="F621" s="18" t="n">
        <v>12</v>
      </c>
      <c r="G621" s="18" t="n">
        <v>30</v>
      </c>
      <c r="H621" s="18" t="n">
        <v>30</v>
      </c>
      <c r="I621" s="18" t="n"/>
      <c r="J621" s="18" t="n"/>
      <c r="K621" s="19">
        <f>H621+I621+J621</f>
        <v/>
      </c>
      <c r="L621" s="19">
        <f>K621-G621</f>
        <v/>
      </c>
      <c r="M621" s="20">
        <f>L621*E621</f>
        <v/>
      </c>
      <c r="N621" s="20" t="n">
        <v>50</v>
      </c>
      <c r="O621" s="20" t="n"/>
      <c r="P621" s="20">
        <f>O621-N621</f>
        <v/>
      </c>
      <c r="Q621" s="20">
        <f>P621*E621</f>
        <v/>
      </c>
      <c r="R621" s="20" t="n"/>
    </row>
    <row r="622" ht="20" customHeight="1" s="1">
      <c r="A622" s="21" t="inlineStr">
        <is>
          <t>22051</t>
        </is>
      </c>
      <c r="B622" s="22" t="inlineStr">
        <is>
          <t>LLC Sabrise</t>
        </is>
      </c>
      <c r="C622" s="21" t="inlineStr">
        <is>
          <t>4820184442535</t>
        </is>
      </c>
      <c r="D622" s="22" t="inlineStr">
        <is>
          <t>Irex tarakan ucun tele 3eded</t>
        </is>
      </c>
      <c r="E622" s="23" t="n">
        <v>3.7</v>
      </c>
      <c r="F622" s="23" t="n">
        <v>12</v>
      </c>
      <c r="G622" s="23" t="n">
        <v>103</v>
      </c>
      <c r="H622" s="23" t="n">
        <v>103</v>
      </c>
      <c r="I622" s="23" t="n"/>
      <c r="J622" s="23" t="n"/>
      <c r="K622" s="19">
        <f>H622+I622+J622</f>
        <v/>
      </c>
      <c r="L622" s="19">
        <f>K622-G622</f>
        <v/>
      </c>
      <c r="M622" s="20">
        <f>L622*E622</f>
        <v/>
      </c>
      <c r="N622" s="20" t="n">
        <v>50</v>
      </c>
      <c r="O622" s="20" t="n"/>
      <c r="P622" s="20">
        <f>O622-N622</f>
        <v/>
      </c>
      <c r="Q622" s="20">
        <f>P622*E622</f>
        <v/>
      </c>
      <c r="R622" s="20" t="n"/>
    </row>
    <row r="623" ht="20" customHeight="1" s="1">
      <c r="A623" s="16" t="inlineStr">
        <is>
          <t>22064</t>
        </is>
      </c>
      <c r="B623" s="17" t="inlineStr">
        <is>
          <t>LLC Sabrise</t>
        </is>
      </c>
      <c r="C623" s="16" t="inlineStr">
        <is>
          <t>4820184441309</t>
        </is>
      </c>
      <c r="D623" s="17" t="inlineStr">
        <is>
          <t>Irex agcaqanad ucun dest, cihaz ve mehlul 30 gece</t>
        </is>
      </c>
      <c r="E623" s="18" t="n">
        <v>9.199999999999999</v>
      </c>
      <c r="F623" s="18" t="n">
        <v>12</v>
      </c>
      <c r="G623" s="18" t="n">
        <v>142</v>
      </c>
      <c r="H623" s="18" t="n">
        <v>142</v>
      </c>
      <c r="I623" s="18" t="n"/>
      <c r="J623" s="18" t="n"/>
      <c r="K623" s="19">
        <f>H623+I623+J623</f>
        <v/>
      </c>
      <c r="L623" s="19">
        <f>K623-G623</f>
        <v/>
      </c>
      <c r="M623" s="20">
        <f>L623*E623</f>
        <v/>
      </c>
      <c r="N623" s="20" t="n">
        <v>50</v>
      </c>
      <c r="O623" s="20" t="n"/>
      <c r="P623" s="20">
        <f>O623-N623</f>
        <v/>
      </c>
      <c r="Q623" s="20">
        <f>P623*E623</f>
        <v/>
      </c>
      <c r="R623" s="20" t="n"/>
    </row>
    <row r="624" ht="20" customHeight="1" s="1">
      <c r="A624" s="21" t="inlineStr">
        <is>
          <t>22065</t>
        </is>
      </c>
      <c r="B624" s="22" t="inlineStr">
        <is>
          <t>LLC Sabrise</t>
        </is>
      </c>
      <c r="C624" s="21" t="inlineStr">
        <is>
          <t>4820184442467</t>
        </is>
      </c>
      <c r="D624" s="22" t="inlineStr">
        <is>
          <t>Irex Kids agcaqanad ucun dest, cihaz ve mehlul 30 gece</t>
        </is>
      </c>
      <c r="E624" s="23" t="n">
        <v>11</v>
      </c>
      <c r="F624" s="23" t="n">
        <v>12</v>
      </c>
      <c r="G624" s="23" t="n">
        <v>93</v>
      </c>
      <c r="H624" s="23" t="n">
        <v>93</v>
      </c>
      <c r="I624" s="23" t="n"/>
      <c r="J624" s="23" t="n"/>
      <c r="K624" s="19">
        <f>H624+I624+J624</f>
        <v/>
      </c>
      <c r="L624" s="19">
        <f>K624-G624</f>
        <v/>
      </c>
      <c r="M624" s="20">
        <f>L624*E624</f>
        <v/>
      </c>
      <c r="N624" s="20" t="n">
        <v>50</v>
      </c>
      <c r="O624" s="20" t="n"/>
      <c r="P624" s="20">
        <f>O624-N624</f>
        <v/>
      </c>
      <c r="Q624" s="20">
        <f>P624*E624</f>
        <v/>
      </c>
      <c r="R624" s="20" t="n"/>
    </row>
    <row r="625" ht="20" customHeight="1" s="1">
      <c r="A625" s="16" t="inlineStr">
        <is>
          <t>22047</t>
        </is>
      </c>
      <c r="B625" s="17" t="inlineStr">
        <is>
          <t>LLC Sabrise</t>
        </is>
      </c>
      <c r="C625" s="16" t="inlineStr">
        <is>
          <t>4820184441323</t>
        </is>
      </c>
      <c r="D625" s="17" t="inlineStr">
        <is>
          <t>Irex agcaqanad ucun mehlul 30 gece</t>
        </is>
      </c>
      <c r="E625" s="18" t="n">
        <v>4</v>
      </c>
      <c r="F625" s="18" t="n">
        <v>12</v>
      </c>
      <c r="G625" s="18" t="n">
        <v>235</v>
      </c>
      <c r="H625" s="18" t="n"/>
      <c r="I625" s="18" t="n"/>
      <c r="J625" s="18" t="n"/>
      <c r="K625" s="19" t="n"/>
      <c r="L625" s="19" t="n"/>
      <c r="M625" s="20" t="n"/>
      <c r="N625" s="20" t="n">
        <v>50</v>
      </c>
      <c r="O625" s="20" t="n"/>
      <c r="P625" s="20">
        <f>O625-N625</f>
        <v/>
      </c>
      <c r="Q625" s="20">
        <f>P625*E625</f>
        <v/>
      </c>
      <c r="R625" s="20" t="n"/>
    </row>
    <row r="626" ht="20" customHeight="1" s="1">
      <c r="A626" s="21" t="inlineStr">
        <is>
          <t>22048</t>
        </is>
      </c>
      <c r="B626" s="22" t="inlineStr">
        <is>
          <t>LLC Sabrise</t>
        </is>
      </c>
      <c r="C626" s="21" t="inlineStr">
        <is>
          <t>4820184442450</t>
        </is>
      </c>
      <c r="D626" s="22" t="inlineStr">
        <is>
          <t>Irex Kids agcaqanad ucun mehlul 30 gece</t>
        </is>
      </c>
      <c r="E626" s="23" t="n">
        <v>4.7</v>
      </c>
      <c r="F626" s="23" t="n">
        <v>12</v>
      </c>
      <c r="G626" s="23" t="n">
        <v>112</v>
      </c>
      <c r="H626" s="23" t="n">
        <v>112</v>
      </c>
      <c r="I626" s="23" t="n"/>
      <c r="J626" s="23" t="n"/>
      <c r="K626" s="19">
        <f>H626+I626+J626</f>
        <v/>
      </c>
      <c r="L626" s="19">
        <f>K626-G626</f>
        <v/>
      </c>
      <c r="M626" s="20">
        <f>L626*E626</f>
        <v/>
      </c>
      <c r="N626" s="20" t="n">
        <v>50</v>
      </c>
      <c r="O626" s="20" t="n"/>
      <c r="P626" s="20">
        <f>O626-N626</f>
        <v/>
      </c>
      <c r="Q626" s="20">
        <f>P626*E626</f>
        <v/>
      </c>
      <c r="R626" s="20" t="n"/>
    </row>
    <row r="627" ht="20" customHeight="1" s="1">
      <c r="A627" s="16" t="inlineStr">
        <is>
          <t>22046</t>
        </is>
      </c>
      <c r="B627" s="17" t="inlineStr">
        <is>
          <t>LLC Sabrise</t>
        </is>
      </c>
      <c r="C627" s="16" t="inlineStr">
        <is>
          <t>4820184441316</t>
        </is>
      </c>
      <c r="D627" s="17" t="inlineStr">
        <is>
          <t>Irex agcaqanad ucun mehlul 60 gece</t>
        </is>
      </c>
      <c r="E627" s="18" t="n">
        <v>5.7</v>
      </c>
      <c r="F627" s="18" t="n">
        <v>12</v>
      </c>
      <c r="G627" s="18" t="n">
        <v>278</v>
      </c>
      <c r="H627" s="18" t="n"/>
      <c r="I627" s="18" t="n"/>
      <c r="J627" s="18" t="n"/>
      <c r="K627" s="19" t="n"/>
      <c r="L627" s="19" t="n"/>
      <c r="M627" s="20" t="n"/>
      <c r="N627" s="20" t="n">
        <v>50</v>
      </c>
      <c r="O627" s="20" t="n"/>
      <c r="P627" s="20">
        <f>O627-N627</f>
        <v/>
      </c>
      <c r="Q627" s="20">
        <f>P627*E627</f>
        <v/>
      </c>
      <c r="R627" s="20" t="n"/>
    </row>
    <row r="628" ht="20" customHeight="1" s="1">
      <c r="A628" s="21" t="inlineStr">
        <is>
          <t>22045</t>
        </is>
      </c>
      <c r="B628" s="22" t="inlineStr">
        <is>
          <t>LLC Sabrise</t>
        </is>
      </c>
      <c r="C628" s="21" t="inlineStr">
        <is>
          <t>4820184441262</t>
        </is>
      </c>
      <c r="D628" s="22" t="inlineStr">
        <is>
          <t>Irex agcaqanad spirali</t>
        </is>
      </c>
      <c r="E628" s="23" t="n">
        <v>2.8</v>
      </c>
      <c r="F628" s="23" t="n">
        <v>12</v>
      </c>
      <c r="G628" s="23" t="n">
        <v>132</v>
      </c>
      <c r="H628" s="23" t="n">
        <v>132</v>
      </c>
      <c r="I628" s="23" t="n"/>
      <c r="J628" s="23" t="n"/>
      <c r="K628" s="19">
        <f>H628+I628+J628</f>
        <v/>
      </c>
      <c r="L628" s="19">
        <f>K628-G628</f>
        <v/>
      </c>
      <c r="M628" s="20">
        <f>L628*E628</f>
        <v/>
      </c>
      <c r="N628" s="20" t="n">
        <v>50</v>
      </c>
      <c r="O628" s="20" t="n"/>
      <c r="P628" s="20">
        <f>O628-N628</f>
        <v/>
      </c>
      <c r="Q628" s="20">
        <f>P628*E628</f>
        <v/>
      </c>
      <c r="R628" s="20" t="n"/>
    </row>
    <row r="629" ht="20" customHeight="1" s="1">
      <c r="A629" s="16" t="inlineStr">
        <is>
          <t>22057</t>
        </is>
      </c>
      <c r="B629" s="17" t="inlineStr">
        <is>
          <t>LLC Sabrise</t>
        </is>
      </c>
      <c r="C629" s="16" t="inlineStr">
        <is>
          <t>4820184441347</t>
        </is>
      </c>
      <c r="D629" s="17" t="inlineStr">
        <is>
          <t>Irex agcaqanad ucun plastr 10eded</t>
        </is>
      </c>
      <c r="E629" s="18" t="n">
        <v>1.3</v>
      </c>
      <c r="F629" s="18" t="n">
        <v>240</v>
      </c>
      <c r="G629" s="18" t="n">
        <v>1456</v>
      </c>
      <c r="H629" s="18" t="n">
        <v>1456</v>
      </c>
      <c r="I629" s="18" t="n"/>
      <c r="J629" s="18" t="n"/>
      <c r="K629" s="19">
        <f>H629+I629+J629</f>
        <v/>
      </c>
      <c r="L629" s="19">
        <f>K629-G629</f>
        <v/>
      </c>
      <c r="M629" s="20">
        <f>L629*E629</f>
        <v/>
      </c>
      <c r="N629" s="20" t="n">
        <v>50</v>
      </c>
      <c r="O629" s="20" t="n"/>
      <c r="P629" s="20">
        <f>O629-N629</f>
        <v/>
      </c>
      <c r="Q629" s="20">
        <f>P629*E629</f>
        <v/>
      </c>
      <c r="R629" s="20" t="n"/>
    </row>
    <row r="630" ht="20" customHeight="1" s="1">
      <c r="A630" s="21" t="inlineStr">
        <is>
          <t>22063</t>
        </is>
      </c>
      <c r="B630" s="22" t="inlineStr">
        <is>
          <t>LLC Sabrise</t>
        </is>
      </c>
      <c r="C630" s="21" t="inlineStr">
        <is>
          <t>4820184442146</t>
        </is>
      </c>
      <c r="D630" s="22" t="inlineStr">
        <is>
          <t>Irex sicovul ucun yapisqanli tele boyuk</t>
        </is>
      </c>
      <c r="E630" s="23" t="n">
        <v>3.8</v>
      </c>
      <c r="F630" s="23" t="n">
        <v>12</v>
      </c>
      <c r="G630" s="23" t="n">
        <v>36</v>
      </c>
      <c r="H630" s="23" t="n">
        <v>36</v>
      </c>
      <c r="I630" s="23" t="n"/>
      <c r="J630" s="23" t="n"/>
      <c r="K630" s="19">
        <f>H630+I630+J630</f>
        <v/>
      </c>
      <c r="L630" s="19">
        <f>K630-G630</f>
        <v/>
      </c>
      <c r="M630" s="20">
        <f>L630*E630</f>
        <v/>
      </c>
      <c r="N630" s="20" t="n">
        <v>50</v>
      </c>
      <c r="O630" s="20" t="n"/>
      <c r="P630" s="20">
        <f>O630-N630</f>
        <v/>
      </c>
      <c r="Q630" s="20">
        <f>P630*E630</f>
        <v/>
      </c>
      <c r="R630" s="20" t="n"/>
    </row>
    <row r="631" ht="20" customHeight="1" s="1">
      <c r="A631" s="16" t="inlineStr">
        <is>
          <t>22062</t>
        </is>
      </c>
      <c r="B631" s="17" t="inlineStr">
        <is>
          <t>LLC Sabrise</t>
        </is>
      </c>
      <c r="C631" s="16" t="inlineStr">
        <is>
          <t>4820184442139</t>
        </is>
      </c>
      <c r="D631" s="17" t="inlineStr">
        <is>
          <t>Irex sican ucun yapisqanli tele balaca</t>
        </is>
      </c>
      <c r="E631" s="18" t="n">
        <v>2.7</v>
      </c>
      <c r="F631" s="18" t="n">
        <v>12</v>
      </c>
      <c r="G631" s="18" t="n">
        <v>24</v>
      </c>
      <c r="H631" s="18" t="n">
        <v>24</v>
      </c>
      <c r="I631" s="18" t="n"/>
      <c r="J631" s="18" t="n"/>
      <c r="K631" s="19">
        <f>H631+I631+J631</f>
        <v/>
      </c>
      <c r="L631" s="19">
        <f>K631-G631</f>
        <v/>
      </c>
      <c r="M631" s="20">
        <f>L631*E631</f>
        <v/>
      </c>
      <c r="N631" s="20" t="n">
        <v>50</v>
      </c>
      <c r="O631" s="20" t="n"/>
      <c r="P631" s="20">
        <f>O631-N631</f>
        <v/>
      </c>
      <c r="Q631" s="20">
        <f>P631*E631</f>
        <v/>
      </c>
      <c r="R631" s="20" t="n"/>
    </row>
    <row r="632" ht="20" customHeight="1" s="1">
      <c r="A632" s="21" t="inlineStr">
        <is>
          <t>21748</t>
        </is>
      </c>
      <c r="B632" s="22" t="inlineStr">
        <is>
          <t>VORTEX</t>
        </is>
      </c>
      <c r="C632" s="21" t="inlineStr">
        <is>
          <t>4820048487801</t>
        </is>
      </c>
      <c r="D632" s="22" t="inlineStr">
        <is>
          <t>Vortex metbex sungeri mesameli 5ed</t>
        </is>
      </c>
      <c r="E632" s="23" t="n">
        <v>3.4</v>
      </c>
      <c r="F632" s="23" t="n">
        <v>10</v>
      </c>
      <c r="G632" s="23" t="n">
        <v>37</v>
      </c>
      <c r="H632" s="23" t="n"/>
      <c r="I632" s="23" t="n"/>
      <c r="J632" s="23" t="n"/>
      <c r="K632" s="19">
        <f>H632+I632+J632</f>
        <v/>
      </c>
      <c r="L632" s="19">
        <f>K632-G632</f>
        <v/>
      </c>
      <c r="M632" s="20">
        <f>L632*E632</f>
        <v/>
      </c>
      <c r="N632" s="20" t="n">
        <v>50</v>
      </c>
      <c r="O632" s="20" t="n"/>
      <c r="P632" s="20">
        <f>O632-N632</f>
        <v/>
      </c>
      <c r="Q632" s="20">
        <f>P632*E632</f>
        <v/>
      </c>
      <c r="R632" s="20" t="n"/>
    </row>
    <row r="633" ht="20" customHeight="1" s="1">
      <c r="A633" s="16" t="inlineStr">
        <is>
          <t>21738</t>
        </is>
      </c>
      <c r="B633" s="17" t="inlineStr">
        <is>
          <t>VORTEX</t>
        </is>
      </c>
      <c r="C633" s="16" t="inlineStr">
        <is>
          <t>4823071623819</t>
        </is>
      </c>
      <c r="D633" s="17" t="inlineStr">
        <is>
          <t>Vortex metbex sungeri dalgali 3D 10ed</t>
        </is>
      </c>
      <c r="E633" s="18" t="n">
        <v>3</v>
      </c>
      <c r="F633" s="18" t="n">
        <v>21</v>
      </c>
      <c r="G633" s="18" t="n">
        <v>45</v>
      </c>
      <c r="H633" s="18" t="n"/>
      <c r="I633" s="18" t="n"/>
      <c r="J633" s="18" t="n"/>
      <c r="K633" s="19">
        <f>H633+I633+J633</f>
        <v/>
      </c>
      <c r="L633" s="19">
        <f>K633-G633</f>
        <v/>
      </c>
      <c r="M633" s="20">
        <f>L633*E633</f>
        <v/>
      </c>
      <c r="N633" s="20" t="n">
        <v>50</v>
      </c>
      <c r="O633" s="20" t="n"/>
      <c r="P633" s="20">
        <f>O633-N633</f>
        <v/>
      </c>
      <c r="Q633" s="20">
        <f>P633*E633</f>
        <v/>
      </c>
      <c r="R633" s="20" t="n"/>
    </row>
    <row r="634" ht="20" customHeight="1" s="1">
      <c r="A634" s="21" t="inlineStr">
        <is>
          <t>21747</t>
        </is>
      </c>
      <c r="B634" s="22" t="inlineStr">
        <is>
          <t>VORTEX</t>
        </is>
      </c>
      <c r="C634" s="21" t="inlineStr">
        <is>
          <t>4823071614398</t>
        </is>
      </c>
      <c r="D634" s="22" t="inlineStr">
        <is>
          <t>Vortex metbex sungeri mesameli 10ed</t>
        </is>
      </c>
      <c r="E634" s="23" t="n">
        <v>4.3</v>
      </c>
      <c r="F634" s="23" t="n">
        <v>12</v>
      </c>
      <c r="G634" s="23" t="n">
        <v>57</v>
      </c>
      <c r="H634" s="23" t="n"/>
      <c r="I634" s="23" t="n"/>
      <c r="J634" s="23" t="n"/>
      <c r="K634" s="19">
        <f>H634+I634+J634</f>
        <v/>
      </c>
      <c r="L634" s="19">
        <f>K634-G634</f>
        <v/>
      </c>
      <c r="M634" s="20">
        <f>L634*E634</f>
        <v/>
      </c>
      <c r="N634" s="20" t="n">
        <v>50</v>
      </c>
      <c r="O634" s="20" t="n"/>
      <c r="P634" s="20">
        <f>O634-N634</f>
        <v/>
      </c>
      <c r="Q634" s="20">
        <f>P634*E634</f>
        <v/>
      </c>
      <c r="R634" s="20" t="n"/>
    </row>
    <row r="635" ht="20" customHeight="1" s="1">
      <c r="A635" s="16" t="inlineStr">
        <is>
          <t>21739</t>
        </is>
      </c>
      <c r="B635" s="17" t="inlineStr">
        <is>
          <t>VORTEX</t>
        </is>
      </c>
      <c r="C635" s="16" t="inlineStr">
        <is>
          <t>4823071662849</t>
        </is>
      </c>
      <c r="D635" s="17" t="inlineStr">
        <is>
          <t>Vortex metbex sungeri dalgali 3D 5ed</t>
        </is>
      </c>
      <c r="E635" s="18" t="n">
        <v>3</v>
      </c>
      <c r="F635" s="18" t="n">
        <v>10</v>
      </c>
      <c r="G635" s="18" t="n">
        <v>31</v>
      </c>
      <c r="H635" s="18" t="n"/>
      <c r="I635" s="18" t="n"/>
      <c r="J635" s="18" t="n"/>
      <c r="K635" s="19">
        <f>H635+I635+J635</f>
        <v/>
      </c>
      <c r="L635" s="19">
        <f>K635-G635</f>
        <v/>
      </c>
      <c r="M635" s="20">
        <f>L635*E635</f>
        <v/>
      </c>
      <c r="N635" s="20" t="n">
        <v>50</v>
      </c>
      <c r="O635" s="20" t="n"/>
      <c r="P635" s="20">
        <f>O635-N635</f>
        <v/>
      </c>
      <c r="Q635" s="20">
        <f>P635*E635</f>
        <v/>
      </c>
      <c r="R635" s="20" t="n"/>
    </row>
    <row r="636" ht="20" customHeight="1" s="1">
      <c r="A636" s="21" t="inlineStr">
        <is>
          <t>21745</t>
        </is>
      </c>
      <c r="B636" s="22" t="inlineStr">
        <is>
          <t>VORTEX</t>
        </is>
      </c>
      <c r="C636" s="21" t="inlineStr">
        <is>
          <t>4823071662825</t>
        </is>
      </c>
      <c r="D636" s="22" t="inlineStr">
        <is>
          <t>Vortex metbex sungeri 2ed</t>
        </is>
      </c>
      <c r="E636" s="23" t="n">
        <v>2.5</v>
      </c>
      <c r="F636" s="23" t="n">
        <v>14</v>
      </c>
      <c r="G636" s="23" t="n">
        <v>33</v>
      </c>
      <c r="H636" s="23" t="n"/>
      <c r="I636" s="23" t="n"/>
      <c r="J636" s="23" t="n"/>
      <c r="K636" s="19">
        <f>H636+I636+J636</f>
        <v/>
      </c>
      <c r="L636" s="19">
        <f>K636-G636</f>
        <v/>
      </c>
      <c r="M636" s="20">
        <f>L636*E636</f>
        <v/>
      </c>
      <c r="N636" s="20" t="n">
        <v>50</v>
      </c>
      <c r="O636" s="20" t="n"/>
      <c r="P636" s="20">
        <f>O636-N636</f>
        <v/>
      </c>
      <c r="Q636" s="20">
        <f>P636*E636</f>
        <v/>
      </c>
      <c r="R636" s="20" t="n"/>
    </row>
    <row r="637" ht="20" customHeight="1" s="1">
      <c r="A637" s="16" t="inlineStr">
        <is>
          <t>21744</t>
        </is>
      </c>
      <c r="B637" s="17" t="inlineStr">
        <is>
          <t>VORTEX</t>
        </is>
      </c>
      <c r="C637" s="16" t="inlineStr">
        <is>
          <t>4823071662863</t>
        </is>
      </c>
      <c r="D637" s="17" t="inlineStr">
        <is>
          <t>Vortex metbex sungeri sert universal 1ed</t>
        </is>
      </c>
      <c r="E637" s="18" t="n">
        <v>2.6</v>
      </c>
      <c r="F637" s="18" t="n">
        <v>14</v>
      </c>
      <c r="G637" s="18" t="n">
        <v>34</v>
      </c>
      <c r="H637" s="18" t="n"/>
      <c r="I637" s="18" t="n"/>
      <c r="J637" s="18" t="n"/>
      <c r="K637" s="19">
        <f>H637+I637+J637</f>
        <v/>
      </c>
      <c r="L637" s="19">
        <f>K637-G637</f>
        <v/>
      </c>
      <c r="M637" s="20">
        <f>L637*E637</f>
        <v/>
      </c>
      <c r="N637" s="20" t="n">
        <v>50</v>
      </c>
      <c r="O637" s="20" t="n"/>
      <c r="P637" s="20">
        <f>O637-N637</f>
        <v/>
      </c>
      <c r="Q637" s="20">
        <f>P637*E637</f>
        <v/>
      </c>
      <c r="R637" s="20" t="n"/>
    </row>
    <row r="638" ht="20" customHeight="1" s="1">
      <c r="A638" s="21" t="inlineStr">
        <is>
          <t>21749</t>
        </is>
      </c>
      <c r="B638" s="22" t="inlineStr">
        <is>
          <t>VORTEX</t>
        </is>
      </c>
      <c r="C638" s="21" t="inlineStr">
        <is>
          <t>4823071662894</t>
        </is>
      </c>
      <c r="D638" s="22" t="inlineStr">
        <is>
          <t>Vortex metbex sungeri seluloz 2ed</t>
        </is>
      </c>
      <c r="E638" s="23" t="n">
        <v>4.8</v>
      </c>
      <c r="F638" s="23" t="n">
        <v>28</v>
      </c>
      <c r="G638" s="23" t="n">
        <v>27</v>
      </c>
      <c r="H638" s="23" t="n"/>
      <c r="I638" s="23" t="n"/>
      <c r="J638" s="23" t="n"/>
      <c r="K638" s="19">
        <f>H638+I638+J638</f>
        <v/>
      </c>
      <c r="L638" s="19">
        <f>K638-G638</f>
        <v/>
      </c>
      <c r="M638" s="20">
        <f>L638*E638</f>
        <v/>
      </c>
      <c r="N638" s="20" t="n">
        <v>50</v>
      </c>
      <c r="O638" s="20" t="n"/>
      <c r="P638" s="20">
        <f>O638-N638</f>
        <v/>
      </c>
      <c r="Q638" s="20">
        <f>P638*E638</f>
        <v/>
      </c>
      <c r="R638" s="20" t="n"/>
    </row>
    <row r="639" ht="20" customHeight="1" s="1">
      <c r="A639" s="16" t="inlineStr">
        <is>
          <t>21740</t>
        </is>
      </c>
      <c r="B639" s="17" t="inlineStr">
        <is>
          <t>VORTEX</t>
        </is>
      </c>
      <c r="C639" s="16" t="inlineStr">
        <is>
          <t>4823071643176</t>
        </is>
      </c>
      <c r="D639" s="17" t="inlineStr">
        <is>
          <t>Vortex Zibil torbasi qara 2qat 110x105sm 160l 10ed</t>
        </is>
      </c>
      <c r="E639" s="18" t="n">
        <v>11</v>
      </c>
      <c r="F639" s="18" t="n">
        <v>10</v>
      </c>
      <c r="G639" s="18" t="n">
        <v>16</v>
      </c>
      <c r="H639" s="18" t="n"/>
      <c r="I639" s="18" t="n"/>
      <c r="J639" s="18" t="n"/>
      <c r="K639" s="19">
        <f>H639+I639+J639</f>
        <v/>
      </c>
      <c r="L639" s="19">
        <f>K639-G639</f>
        <v/>
      </c>
      <c r="M639" s="20">
        <f>L639*E639</f>
        <v/>
      </c>
      <c r="N639" s="20" t="n">
        <v>50</v>
      </c>
      <c r="O639" s="20" t="n"/>
      <c r="P639" s="20">
        <f>O639-N639</f>
        <v/>
      </c>
      <c r="Q639" s="20">
        <f>P639*E639</f>
        <v/>
      </c>
      <c r="R639" s="20" t="n"/>
    </row>
    <row r="640" ht="20" customHeight="1" s="1">
      <c r="A640" s="21" t="inlineStr">
        <is>
          <t>21741</t>
        </is>
      </c>
      <c r="B640" s="22" t="inlineStr">
        <is>
          <t>VORTEX</t>
        </is>
      </c>
      <c r="C640" s="21" t="inlineStr">
        <is>
          <t>4823071643183</t>
        </is>
      </c>
      <c r="D640" s="22" t="inlineStr">
        <is>
          <t>Vortex Zibil torbasi yasil 2qat 120x125sm 240l 5ed</t>
        </is>
      </c>
      <c r="E640" s="23" t="n">
        <v>8.550000000000001</v>
      </c>
      <c r="F640" s="23" t="n">
        <v>18</v>
      </c>
      <c r="G640" s="23" t="n">
        <v>66</v>
      </c>
      <c r="H640" s="23" t="n"/>
      <c r="I640" s="23" t="n"/>
      <c r="J640" s="23" t="n"/>
      <c r="K640" s="19">
        <f>H640+I640+J640</f>
        <v/>
      </c>
      <c r="L640" s="19">
        <f>K640-G640</f>
        <v/>
      </c>
      <c r="M640" s="20">
        <f>L640*E640</f>
        <v/>
      </c>
      <c r="N640" s="20" t="n">
        <v>50</v>
      </c>
      <c r="O640" s="20" t="n"/>
      <c r="P640" s="20">
        <f>O640-N640</f>
        <v/>
      </c>
      <c r="Q640" s="20">
        <f>P640*E640</f>
        <v/>
      </c>
      <c r="R640" s="20" t="n"/>
    </row>
    <row r="641" ht="20" customHeight="1" s="1">
      <c r="A641" s="16" t="inlineStr">
        <is>
          <t>21750</t>
        </is>
      </c>
      <c r="B641" s="17" t="inlineStr">
        <is>
          <t>VORTEX</t>
        </is>
      </c>
      <c r="C641" s="16" t="inlineStr">
        <is>
          <t>4823071662597</t>
        </is>
      </c>
      <c r="D641" s="17" t="inlineStr">
        <is>
          <t>Vortex Zibil torbasi ipli benovseyi ag 50x60sm 35l 15ed</t>
        </is>
      </c>
      <c r="E641" s="18" t="n">
        <v>3.1</v>
      </c>
      <c r="F641" s="18" t="n">
        <v>40</v>
      </c>
      <c r="G641" s="18" t="n">
        <v>121</v>
      </c>
      <c r="H641" s="18" t="n"/>
      <c r="I641" s="18" t="n"/>
      <c r="J641" s="18" t="n"/>
      <c r="K641" s="19">
        <f>H641+I641+J641</f>
        <v/>
      </c>
      <c r="L641" s="19">
        <f>K641-G641</f>
        <v/>
      </c>
      <c r="M641" s="20">
        <f>L641*E641</f>
        <v/>
      </c>
      <c r="N641" s="20" t="n">
        <v>50</v>
      </c>
      <c r="O641" s="20" t="n"/>
      <c r="P641" s="20">
        <f>O641-N641</f>
        <v/>
      </c>
      <c r="Q641" s="20">
        <f>P641*E641</f>
        <v/>
      </c>
      <c r="R641" s="20" t="n"/>
    </row>
    <row r="642" ht="20" customHeight="1" s="1">
      <c r="A642" s="21" t="inlineStr">
        <is>
          <t>21742</t>
        </is>
      </c>
      <c r="B642" s="22" t="inlineStr">
        <is>
          <t>VORTEX</t>
        </is>
      </c>
      <c r="C642" s="21" t="inlineStr">
        <is>
          <t>4823071662658</t>
        </is>
      </c>
      <c r="D642" s="22" t="inlineStr">
        <is>
          <t>Vortex Zibil torbasi ipli ag 50x60sm 35l 15ed</t>
        </is>
      </c>
      <c r="E642" s="23" t="n">
        <v>3.8</v>
      </c>
      <c r="F642" s="23" t="n">
        <v>30</v>
      </c>
      <c r="G642" s="23" t="n">
        <v>50</v>
      </c>
      <c r="H642" s="23" t="n"/>
      <c r="I642" s="23" t="n"/>
      <c r="J642" s="23" t="n"/>
      <c r="K642" s="19">
        <f>H642+I642+J642</f>
        <v/>
      </c>
      <c r="L642" s="19">
        <f>K642-G642</f>
        <v/>
      </c>
      <c r="M642" s="20">
        <f>L642*E642</f>
        <v/>
      </c>
      <c r="N642" s="20" t="n">
        <v>50</v>
      </c>
      <c r="O642" s="20" t="n"/>
      <c r="P642" s="20">
        <f>O642-N642</f>
        <v/>
      </c>
      <c r="Q642" s="20">
        <f>P642*E642</f>
        <v/>
      </c>
      <c r="R642" s="20" t="n"/>
    </row>
    <row r="643" ht="20" customHeight="1" s="1">
      <c r="A643" s="16" t="inlineStr">
        <is>
          <t>21743</t>
        </is>
      </c>
      <c r="B643" s="17" t="inlineStr">
        <is>
          <t>VORTEX</t>
        </is>
      </c>
      <c r="C643" s="16" t="inlineStr">
        <is>
          <t>4823071662672</t>
        </is>
      </c>
      <c r="D643" s="17" t="inlineStr">
        <is>
          <t>Vortex Zibil torbasi ipli ag 60x70sm 60l 10ed</t>
        </is>
      </c>
      <c r="E643" s="18" t="n">
        <v>3.8</v>
      </c>
      <c r="F643" s="18" t="n">
        <v>34</v>
      </c>
      <c r="G643" s="18" t="n">
        <v>24</v>
      </c>
      <c r="H643" s="18" t="n"/>
      <c r="I643" s="18" t="n"/>
      <c r="J643" s="18" t="n"/>
      <c r="K643" s="19" t="n"/>
      <c r="L643" s="19" t="n"/>
      <c r="M643" s="20" t="n"/>
      <c r="N643" s="20" t="n">
        <v>50</v>
      </c>
      <c r="O643" s="20" t="n"/>
      <c r="P643" s="20">
        <f>O643-N643</f>
        <v/>
      </c>
      <c r="Q643" s="20">
        <f>P643*E643</f>
        <v/>
      </c>
      <c r="R643" s="20" t="n"/>
    </row>
    <row r="644" ht="20" customHeight="1" s="1">
      <c r="A644" s="21" t="inlineStr">
        <is>
          <t>21737</t>
        </is>
      </c>
      <c r="B644" s="22" t="inlineStr">
        <is>
          <t>VORTEX</t>
        </is>
      </c>
      <c r="C644" s="21" t="inlineStr">
        <is>
          <t>4823071662634</t>
        </is>
      </c>
      <c r="D644" s="22" t="inlineStr">
        <is>
          <t>Vortex Zibil torbasi ipli benovseyi ag 60x65sm 60l 10ed</t>
        </is>
      </c>
      <c r="E644" s="23" t="n">
        <v>3.28</v>
      </c>
      <c r="F644" s="23" t="n">
        <v>50</v>
      </c>
      <c r="G644" s="23" t="n">
        <v>93</v>
      </c>
      <c r="H644" s="23" t="n"/>
      <c r="I644" s="23" t="n"/>
      <c r="J644" s="23" t="n"/>
      <c r="K644" s="19">
        <f>H644+I644+J644</f>
        <v/>
      </c>
      <c r="L644" s="19">
        <f>K644-G644</f>
        <v/>
      </c>
      <c r="M644" s="20">
        <f>L644*E644</f>
        <v/>
      </c>
      <c r="N644" s="20" t="n">
        <v>50</v>
      </c>
      <c r="O644" s="20" t="n"/>
      <c r="P644" s="20">
        <f>O644-N644</f>
        <v/>
      </c>
      <c r="Q644" s="20">
        <f>P644*E644</f>
        <v/>
      </c>
      <c r="R644" s="20" t="n"/>
    </row>
    <row r="645" ht="20" customHeight="1" s="1">
      <c r="A645" s="16" t="inlineStr">
        <is>
          <t>21755</t>
        </is>
      </c>
      <c r="B645" s="17" t="inlineStr">
        <is>
          <t>VORTEX</t>
        </is>
      </c>
      <c r="C645" s="16" t="inlineStr">
        <is>
          <t>4823071662610</t>
        </is>
      </c>
      <c r="D645" s="17" t="inlineStr">
        <is>
          <t>Vortex Zibil torbasi ipli benovseyi lavanda 60x70sm 60l 10ed</t>
        </is>
      </c>
      <c r="E645" s="18" t="n">
        <v>3.9</v>
      </c>
      <c r="F645" s="18" t="n">
        <v>46</v>
      </c>
      <c r="G645" s="18" t="n">
        <v>135</v>
      </c>
      <c r="H645" s="18" t="n"/>
      <c r="I645" s="18" t="n"/>
      <c r="J645" s="18" t="n"/>
      <c r="K645" s="19">
        <f>H645+I645+J645</f>
        <v/>
      </c>
      <c r="L645" s="19">
        <f>K645-G645</f>
        <v/>
      </c>
      <c r="M645" s="20">
        <f>L645*E645</f>
        <v/>
      </c>
      <c r="N645" s="20" t="n">
        <v>50</v>
      </c>
      <c r="O645" s="20" t="n"/>
      <c r="P645" s="20">
        <f>O645-N645</f>
        <v/>
      </c>
      <c r="Q645" s="20">
        <f>P645*E645</f>
        <v/>
      </c>
      <c r="R645" s="20" t="n"/>
    </row>
    <row r="646" ht="20" customHeight="1" s="1">
      <c r="A646" s="21" t="inlineStr">
        <is>
          <t>21752</t>
        </is>
      </c>
      <c r="B646" s="22" t="inlineStr">
        <is>
          <t>VORTEX</t>
        </is>
      </c>
      <c r="C646" s="21" t="inlineStr">
        <is>
          <t>4823071662696</t>
        </is>
      </c>
      <c r="D646" s="22" t="inlineStr">
        <is>
          <t>Vortex Zibil torbasi ipli qrafit 53x60sm 35l 15ed</t>
        </is>
      </c>
      <c r="E646" s="23" t="n">
        <v>4.8</v>
      </c>
      <c r="F646" s="23" t="n">
        <v>12</v>
      </c>
      <c r="G646" s="23" t="n">
        <v>26</v>
      </c>
      <c r="H646" s="23" t="n"/>
      <c r="I646" s="23" t="n"/>
      <c r="J646" s="23" t="n"/>
      <c r="K646" s="19">
        <f>H646+I646+J646</f>
        <v/>
      </c>
      <c r="L646" s="19">
        <f>K646-G646</f>
        <v/>
      </c>
      <c r="M646" s="20">
        <f>L646*E646</f>
        <v/>
      </c>
      <c r="N646" s="20" t="n">
        <v>50</v>
      </c>
      <c r="O646" s="20" t="n"/>
      <c r="P646" s="20">
        <f>O646-N646</f>
        <v/>
      </c>
      <c r="Q646" s="20">
        <f>P646*E646</f>
        <v/>
      </c>
      <c r="R646" s="20" t="n"/>
    </row>
    <row r="647" ht="20" customHeight="1" s="1">
      <c r="A647" s="16" t="inlineStr">
        <is>
          <t>21753</t>
        </is>
      </c>
      <c r="B647" s="17" t="inlineStr">
        <is>
          <t>VORTEX</t>
        </is>
      </c>
      <c r="C647" s="16" t="inlineStr">
        <is>
          <t>4823071662719</t>
        </is>
      </c>
      <c r="D647" s="17" t="inlineStr">
        <is>
          <t>Vortex Zibil torbasi ipli qrafit 64x69sm 60l 10ed</t>
        </is>
      </c>
      <c r="E647" s="18" t="n">
        <v>4.9</v>
      </c>
      <c r="F647" s="18" t="n">
        <v>15</v>
      </c>
      <c r="G647" s="18" t="n">
        <v>48</v>
      </c>
      <c r="H647" s="18" t="n"/>
      <c r="I647" s="18" t="n"/>
      <c r="J647" s="18" t="n"/>
      <c r="K647" s="19">
        <f>H647+I647+J647</f>
        <v/>
      </c>
      <c r="L647" s="19">
        <f>K647-G647</f>
        <v/>
      </c>
      <c r="M647" s="20">
        <f>L647*E647</f>
        <v/>
      </c>
      <c r="N647" s="20" t="n">
        <v>50</v>
      </c>
      <c r="O647" s="20" t="n"/>
      <c r="P647" s="20">
        <f>O647-N647</f>
        <v/>
      </c>
      <c r="Q647" s="20">
        <f>P647*E647</f>
        <v/>
      </c>
      <c r="R647" s="20" t="n"/>
    </row>
    <row r="648" ht="20" customHeight="1" s="1">
      <c r="A648" s="21" t="inlineStr">
        <is>
          <t>21751</t>
        </is>
      </c>
      <c r="B648" s="22" t="inlineStr">
        <is>
          <t>VORTEX</t>
        </is>
      </c>
      <c r="C648" s="21" t="inlineStr">
        <is>
          <t>4823071662573</t>
        </is>
      </c>
      <c r="D648" s="22" t="inlineStr">
        <is>
          <t>Vortex Zibil torbasi ipli benovseyi lavanda 50x60sm 35l 15ed</t>
        </is>
      </c>
      <c r="E648" s="23" t="n">
        <v>3.1</v>
      </c>
      <c r="F648" s="23" t="n">
        <v>40</v>
      </c>
      <c r="G648" s="23" t="n">
        <v>52</v>
      </c>
      <c r="H648" s="23" t="n"/>
      <c r="I648" s="23" t="n"/>
      <c r="J648" s="23" t="n"/>
      <c r="K648" s="19">
        <f>H648+I648+J648</f>
        <v/>
      </c>
      <c r="L648" s="19">
        <f>K648-G648</f>
        <v/>
      </c>
      <c r="M648" s="20">
        <f>L648*E648</f>
        <v/>
      </c>
      <c r="N648" s="20" t="n">
        <v>50</v>
      </c>
      <c r="O648" s="20" t="n"/>
      <c r="P648" s="20">
        <f>O648-N648</f>
        <v/>
      </c>
      <c r="Q648" s="20">
        <f>P648*E648</f>
        <v/>
      </c>
      <c r="R648" s="20" t="n"/>
    </row>
    <row r="649" ht="20" customHeight="1" s="1">
      <c r="A649" s="16" t="inlineStr">
        <is>
          <t>21754</t>
        </is>
      </c>
      <c r="B649" s="17" t="inlineStr">
        <is>
          <t>VORTEX</t>
        </is>
      </c>
      <c r="C649" s="16" t="inlineStr">
        <is>
          <t>4823071641134</t>
        </is>
      </c>
      <c r="D649" s="17" t="inlineStr">
        <is>
          <t>Vortex Zibil torbasi sari 70x110sm 120l 10ed</t>
        </is>
      </c>
      <c r="E649" s="18" t="n">
        <v>5.8</v>
      </c>
      <c r="F649" s="18" t="n">
        <v>30</v>
      </c>
      <c r="G649" s="18" t="n">
        <v>73</v>
      </c>
      <c r="H649" s="18" t="n"/>
      <c r="I649" s="18" t="n"/>
      <c r="J649" s="18" t="n"/>
      <c r="K649" s="19">
        <f>H649+I649+J649</f>
        <v/>
      </c>
      <c r="L649" s="19">
        <f>K649-G649</f>
        <v/>
      </c>
      <c r="M649" s="20">
        <f>L649*E649</f>
        <v/>
      </c>
      <c r="N649" s="20" t="n">
        <v>50</v>
      </c>
      <c r="O649" s="20" t="n"/>
      <c r="P649" s="20">
        <f>O649-N649</f>
        <v/>
      </c>
      <c r="Q649" s="20">
        <f>P649*E649</f>
        <v/>
      </c>
      <c r="R649" s="20" t="n"/>
    </row>
    <row r="650" ht="20" customHeight="1" s="1">
      <c r="A650" s="21" t="inlineStr">
        <is>
          <t>21760</t>
        </is>
      </c>
      <c r="B650" s="22" t="inlineStr">
        <is>
          <t>VORTEX</t>
        </is>
      </c>
      <c r="C650" s="21" t="inlineStr">
        <is>
          <t>4823071662757</t>
        </is>
      </c>
      <c r="D650" s="22" t="inlineStr">
        <is>
          <t>Vortex nem salfet universal Extra Strong 36ed</t>
        </is>
      </c>
      <c r="E650" s="23" t="n">
        <v>7.05</v>
      </c>
      <c r="F650" s="23" t="n">
        <v>18</v>
      </c>
      <c r="G650" s="23" t="n">
        <v>47</v>
      </c>
      <c r="H650" s="23" t="n"/>
      <c r="I650" s="23" t="n"/>
      <c r="J650" s="23" t="n"/>
      <c r="K650" s="19">
        <f>H650+I650+J650</f>
        <v/>
      </c>
      <c r="L650" s="19">
        <f>K650-G650</f>
        <v/>
      </c>
      <c r="M650" s="20">
        <f>L650*E650</f>
        <v/>
      </c>
      <c r="N650" s="20" t="n">
        <v>50</v>
      </c>
      <c r="O650" s="20" t="n"/>
      <c r="P650" s="20">
        <f>O650-N650</f>
        <v/>
      </c>
      <c r="Q650" s="20">
        <f>P650*E650</f>
        <v/>
      </c>
      <c r="R650" s="20" t="n"/>
    </row>
    <row r="651" ht="20" customHeight="1" s="1">
      <c r="A651" s="16" t="inlineStr">
        <is>
          <t>21763</t>
        </is>
      </c>
      <c r="B651" s="17" t="inlineStr">
        <is>
          <t>VORTEX</t>
        </is>
      </c>
      <c r="C651" s="16" t="inlineStr">
        <is>
          <t>4823071624212</t>
        </is>
      </c>
      <c r="D651" s="17" t="inlineStr">
        <is>
          <t>Vortex Aluminium folqa МАХ 10m 14mkm</t>
        </is>
      </c>
      <c r="E651" s="18" t="n">
        <v>5.3</v>
      </c>
      <c r="F651" s="18" t="n">
        <v>24</v>
      </c>
      <c r="G651" s="18" t="n">
        <v>31</v>
      </c>
      <c r="H651" s="18" t="n"/>
      <c r="I651" s="18" t="n"/>
      <c r="J651" s="18" t="n"/>
      <c r="K651" s="19">
        <f>H651+I651+J651</f>
        <v/>
      </c>
      <c r="L651" s="19">
        <f>K651-G651</f>
        <v/>
      </c>
      <c r="M651" s="20">
        <f>L651*E651</f>
        <v/>
      </c>
      <c r="N651" s="20" t="n">
        <v>50</v>
      </c>
      <c r="O651" s="20" t="n"/>
      <c r="P651" s="20">
        <f>O651-N651</f>
        <v/>
      </c>
      <c r="Q651" s="20">
        <f>P651*E651</f>
        <v/>
      </c>
      <c r="R651" s="20" t="n"/>
    </row>
    <row r="652" ht="20" customHeight="1" s="1">
      <c r="A652" s="21" t="inlineStr">
        <is>
          <t>21761</t>
        </is>
      </c>
      <c r="B652" s="22" t="inlineStr">
        <is>
          <t>VORTEX</t>
        </is>
      </c>
      <c r="C652" s="21" t="inlineStr">
        <is>
          <t>4823071624151</t>
        </is>
      </c>
      <c r="D652" s="22" t="inlineStr">
        <is>
          <t>Vortex Aluminium folqa 10m 10mkm</t>
        </is>
      </c>
      <c r="E652" s="23" t="n">
        <v>3.8</v>
      </c>
      <c r="F652" s="23" t="n">
        <v>30</v>
      </c>
      <c r="G652" s="23" t="n">
        <v>38</v>
      </c>
      <c r="H652" s="23" t="n"/>
      <c r="I652" s="23" t="n"/>
      <c r="J652" s="23" t="n"/>
      <c r="K652" s="19">
        <f>H652+I652+J652</f>
        <v/>
      </c>
      <c r="L652" s="19">
        <f>K652-G652</f>
        <v/>
      </c>
      <c r="M652" s="20">
        <f>L652*E652</f>
        <v/>
      </c>
      <c r="N652" s="20" t="n">
        <v>50</v>
      </c>
      <c r="O652" s="20" t="n"/>
      <c r="P652" s="20">
        <f>O652-N652</f>
        <v/>
      </c>
      <c r="Q652" s="20">
        <f>P652*E652</f>
        <v/>
      </c>
      <c r="R652" s="20" t="n"/>
    </row>
    <row r="653" ht="20" customHeight="1" s="1">
      <c r="A653" s="16" t="inlineStr">
        <is>
          <t>21762</t>
        </is>
      </c>
      <c r="B653" s="17" t="inlineStr">
        <is>
          <t>VORTEX</t>
        </is>
      </c>
      <c r="C653" s="16" t="inlineStr">
        <is>
          <t>4823071624168</t>
        </is>
      </c>
      <c r="D653" s="17" t="inlineStr">
        <is>
          <t>Vortex Aluminium folqa 20m 10mkm</t>
        </is>
      </c>
      <c r="E653" s="18" t="n">
        <v>6.8</v>
      </c>
      <c r="F653" s="18" t="n">
        <v>30</v>
      </c>
      <c r="G653" s="18" t="n">
        <v>26</v>
      </c>
      <c r="H653" s="18" t="n"/>
      <c r="I653" s="18" t="n"/>
      <c r="J653" s="18" t="n"/>
      <c r="K653" s="19">
        <f>H653+I653+J653</f>
        <v/>
      </c>
      <c r="L653" s="19">
        <f>K653-G653</f>
        <v/>
      </c>
      <c r="M653" s="20">
        <f>L653*E653</f>
        <v/>
      </c>
      <c r="N653" s="20" t="n">
        <v>50</v>
      </c>
      <c r="O653" s="20" t="n"/>
      <c r="P653" s="20">
        <f>O653-N653</f>
        <v/>
      </c>
      <c r="Q653" s="20">
        <f>P653*E653</f>
        <v/>
      </c>
      <c r="R653" s="20" t="n"/>
    </row>
    <row r="654" ht="20" customHeight="1" s="1">
      <c r="A654" s="21" t="inlineStr">
        <is>
          <t>22096</t>
        </is>
      </c>
      <c r="B654" s="22" t="inlineStr">
        <is>
          <t>VORTEX</t>
        </is>
      </c>
      <c r="C654" s="21" t="inlineStr">
        <is>
          <t>4823071653946</t>
        </is>
      </c>
      <c r="D654" s="22" t="inlineStr">
        <is>
          <t>Vortex Aluminium folqa Standart 30m</t>
        </is>
      </c>
      <c r="E654" s="23" t="n">
        <v>9.4</v>
      </c>
      <c r="F654" s="23" t="n">
        <v>30</v>
      </c>
      <c r="G654" s="23" t="n">
        <v>47</v>
      </c>
      <c r="H654" s="23" t="n"/>
      <c r="I654" s="23" t="n"/>
      <c r="J654" s="23" t="n"/>
      <c r="K654" s="19">
        <f>H654+I654+J654</f>
        <v/>
      </c>
      <c r="L654" s="19">
        <f>K654-G654</f>
        <v/>
      </c>
      <c r="M654" s="20">
        <f>L654*E654</f>
        <v/>
      </c>
      <c r="N654" s="20" t="n">
        <v>50</v>
      </c>
      <c r="O654" s="20" t="n"/>
      <c r="P654" s="20">
        <f>O654-N654</f>
        <v/>
      </c>
      <c r="Q654" s="20">
        <f>P654*E654</f>
        <v/>
      </c>
      <c r="R654" s="20" t="n"/>
    </row>
    <row r="655" ht="20" customHeight="1" s="1">
      <c r="A655" s="16" t="inlineStr">
        <is>
          <t>22097</t>
        </is>
      </c>
      <c r="B655" s="17" t="inlineStr">
        <is>
          <t>VORTEX</t>
        </is>
      </c>
      <c r="C655" s="16" t="inlineStr">
        <is>
          <t>4823071654028</t>
        </is>
      </c>
      <c r="D655" s="17" t="inlineStr">
        <is>
          <t>Vortex Aluminium folqa 50m</t>
        </is>
      </c>
      <c r="E655" s="18" t="n">
        <v>14</v>
      </c>
      <c r="F655" s="18" t="n">
        <v>12</v>
      </c>
      <c r="G655" s="18" t="n">
        <v>30</v>
      </c>
      <c r="H655" s="18" t="n"/>
      <c r="I655" s="18" t="n"/>
      <c r="J655" s="18" t="n"/>
      <c r="K655" s="19">
        <f>H655+I655+J655</f>
        <v/>
      </c>
      <c r="L655" s="19">
        <f>K655-G655</f>
        <v/>
      </c>
      <c r="M655" s="20">
        <f>L655*E655</f>
        <v/>
      </c>
      <c r="N655" s="20" t="n">
        <v>50</v>
      </c>
      <c r="O655" s="20" t="n"/>
      <c r="P655" s="20">
        <f>O655-N655</f>
        <v/>
      </c>
      <c r="Q655" s="20">
        <f>P655*E655</f>
        <v/>
      </c>
      <c r="R655" s="20" t="n"/>
    </row>
    <row r="656" ht="20" customHeight="1" s="1">
      <c r="A656" s="21" t="inlineStr">
        <is>
          <t>21756</t>
        </is>
      </c>
      <c r="B656" s="22" t="inlineStr">
        <is>
          <t>VORTEX</t>
        </is>
      </c>
      <c r="C656" s="21" t="inlineStr">
        <is>
          <t>5949509002922</t>
        </is>
      </c>
      <c r="D656" s="22" t="inlineStr">
        <is>
          <t>Vortex Plonka strec 20m</t>
        </is>
      </c>
      <c r="E656" s="23" t="n">
        <v>3.65</v>
      </c>
      <c r="F656" s="23" t="n">
        <v>30</v>
      </c>
      <c r="G656" s="23" t="n">
        <v>22</v>
      </c>
      <c r="H656" s="23" t="n"/>
      <c r="I656" s="23" t="n"/>
      <c r="J656" s="23" t="n"/>
      <c r="K656" s="19">
        <f>H656+I656+J656</f>
        <v/>
      </c>
      <c r="L656" s="19">
        <f>K656-G656</f>
        <v/>
      </c>
      <c r="M656" s="20">
        <f>L656*E656</f>
        <v/>
      </c>
      <c r="N656" s="20" t="n">
        <v>50</v>
      </c>
      <c r="O656" s="20" t="n"/>
      <c r="P656" s="20">
        <f>O656-N656</f>
        <v/>
      </c>
      <c r="Q656" s="20">
        <f>P656*E656</f>
        <v/>
      </c>
      <c r="R656" s="20" t="n"/>
    </row>
    <row r="657" ht="20" customHeight="1" s="1">
      <c r="A657" s="16" t="inlineStr">
        <is>
          <t>22184</t>
        </is>
      </c>
      <c r="B657" s="17" t="inlineStr">
        <is>
          <t>VORTEX</t>
        </is>
      </c>
      <c r="C657" s="16" t="inlineStr">
        <is>
          <t>5949509002731</t>
        </is>
      </c>
      <c r="D657" s="17" t="inlineStr">
        <is>
          <t>Vortex yagkecirmeyen bisirme kagizi perqament 6m</t>
        </is>
      </c>
      <c r="E657" s="18" t="n">
        <v>4.3</v>
      </c>
      <c r="F657" s="18" t="n">
        <v>30</v>
      </c>
      <c r="G657" s="18" t="n">
        <v>60</v>
      </c>
      <c r="H657" s="18" t="n"/>
      <c r="I657" s="18" t="n"/>
      <c r="J657" s="18" t="n"/>
      <c r="K657" s="19">
        <f>H657+I657+J657</f>
        <v/>
      </c>
      <c r="L657" s="19">
        <f>K657-G657</f>
        <v/>
      </c>
      <c r="M657" s="20">
        <f>L657*E657</f>
        <v/>
      </c>
      <c r="N657" s="20" t="n">
        <v>50</v>
      </c>
      <c r="O657" s="20" t="n"/>
      <c r="P657" s="20">
        <f>O657-N657</f>
        <v/>
      </c>
      <c r="Q657" s="20">
        <f>P657*E657</f>
        <v/>
      </c>
      <c r="R657" s="20" t="n"/>
    </row>
    <row r="658" ht="20" customHeight="1" s="1">
      <c r="A658" s="21" t="inlineStr">
        <is>
          <t>21746</t>
        </is>
      </c>
      <c r="B658" s="22" t="inlineStr">
        <is>
          <t>VORTEX</t>
        </is>
      </c>
      <c r="C658" s="21" t="inlineStr">
        <is>
          <t>4823071624250</t>
        </is>
      </c>
      <c r="D658" s="22" t="inlineStr">
        <is>
          <t>Vortex yagkecirmeyen bisirme kagizi perqament 15list</t>
        </is>
      </c>
      <c r="E658" s="23" t="n">
        <v>5.25</v>
      </c>
      <c r="F658" s="23" t="n">
        <v>42</v>
      </c>
      <c r="G658" s="23" t="n">
        <v>30</v>
      </c>
      <c r="H658" s="23" t="n"/>
      <c r="I658" s="23" t="n"/>
      <c r="J658" s="23" t="n"/>
      <c r="K658" s="19">
        <f>H658+I658+J658</f>
        <v/>
      </c>
      <c r="L658" s="19">
        <f>K658-G658</f>
        <v/>
      </c>
      <c r="M658" s="20">
        <f>L658*E658</f>
        <v/>
      </c>
      <c r="N658" s="20" t="n">
        <v>50</v>
      </c>
      <c r="O658" s="20" t="n"/>
      <c r="P658" s="20">
        <f>O658-N658</f>
        <v/>
      </c>
      <c r="Q658" s="20">
        <f>P658*E658</f>
        <v/>
      </c>
      <c r="R658" s="20" t="n"/>
    </row>
    <row r="659" ht="20" customHeight="1" s="1">
      <c r="A659" s="16" t="inlineStr">
        <is>
          <t>21759</t>
        </is>
      </c>
      <c r="B659" s="17" t="inlineStr">
        <is>
          <t>VORTEX</t>
        </is>
      </c>
      <c r="C659" s="16" t="inlineStr">
        <is>
          <t>4820048488167</t>
        </is>
      </c>
      <c r="D659" s="17" t="inlineStr">
        <is>
          <t>Vortex temizlik bezi mikrofiber glass mirrow 1ed</t>
        </is>
      </c>
      <c r="E659" s="18" t="n">
        <v>6.95</v>
      </c>
      <c r="F659" s="18" t="n">
        <v>30</v>
      </c>
      <c r="G659" s="18" t="n">
        <v>27</v>
      </c>
      <c r="H659" s="18" t="n"/>
      <c r="I659" s="18" t="n"/>
      <c r="J659" s="18" t="n"/>
      <c r="K659" s="19">
        <f>H659+I659+J659</f>
        <v/>
      </c>
      <c r="L659" s="19">
        <f>K659-G659</f>
        <v/>
      </c>
      <c r="M659" s="20">
        <f>L659*E659</f>
        <v/>
      </c>
      <c r="N659" s="20" t="n">
        <v>50</v>
      </c>
      <c r="O659" s="20" t="n"/>
      <c r="P659" s="20">
        <f>O659-N659</f>
        <v/>
      </c>
      <c r="Q659" s="20">
        <f>P659*E659</f>
        <v/>
      </c>
      <c r="R659" s="20" t="n"/>
    </row>
    <row r="660" ht="20" customHeight="1" s="1">
      <c r="A660" s="21" t="inlineStr">
        <is>
          <t>21757</t>
        </is>
      </c>
      <c r="B660" s="22" t="inlineStr">
        <is>
          <t>VORTEX</t>
        </is>
      </c>
      <c r="C660" s="21" t="inlineStr">
        <is>
          <t>4823071642971</t>
        </is>
      </c>
      <c r="D660" s="22" t="inlineStr">
        <is>
          <t>Vortex temizlik bezi mikrofiber light glide 1ed</t>
        </is>
      </c>
      <c r="E660" s="23" t="n">
        <v>3.5</v>
      </c>
      <c r="F660" s="23" t="n">
        <v>32</v>
      </c>
      <c r="G660" s="23" t="n">
        <v>34</v>
      </c>
      <c r="H660" s="23" t="n"/>
      <c r="I660" s="23" t="n"/>
      <c r="J660" s="23" t="n"/>
      <c r="K660" s="19">
        <f>H660+I660+J660</f>
        <v/>
      </c>
      <c r="L660" s="19">
        <f>K660-G660</f>
        <v/>
      </c>
      <c r="M660" s="20">
        <f>L660*E660</f>
        <v/>
      </c>
      <c r="N660" s="20" t="n">
        <v>50</v>
      </c>
      <c r="O660" s="20" t="n"/>
      <c r="P660" s="20">
        <f>O660-N660</f>
        <v/>
      </c>
      <c r="Q660" s="20">
        <f>P660*E660</f>
        <v/>
      </c>
      <c r="R660" s="20" t="n"/>
    </row>
    <row r="661" ht="20" customHeight="1" s="1">
      <c r="A661" s="16" t="inlineStr">
        <is>
          <t>21758</t>
        </is>
      </c>
      <c r="B661" s="17" t="inlineStr">
        <is>
          <t>VORTEX</t>
        </is>
      </c>
      <c r="C661" s="16" t="inlineStr">
        <is>
          <t>4823071642933</t>
        </is>
      </c>
      <c r="D661" s="17" t="inlineStr">
        <is>
          <t>Vortex temizlik bezi mikrofiber shaggy monster 1ed</t>
        </is>
      </c>
      <c r="E661" s="18" t="n">
        <v>4.95</v>
      </c>
      <c r="F661" s="18" t="n">
        <v>26</v>
      </c>
      <c r="G661" s="18" t="n">
        <v>109</v>
      </c>
      <c r="H661" s="18" t="n"/>
      <c r="I661" s="18" t="n"/>
      <c r="J661" s="18" t="n"/>
      <c r="K661" s="19">
        <f>H661+I661+J661</f>
        <v/>
      </c>
      <c r="L661" s="19">
        <f>K661-G661</f>
        <v/>
      </c>
      <c r="M661" s="20">
        <f>L661*E661</f>
        <v/>
      </c>
      <c r="N661" s="20" t="n">
        <v>50</v>
      </c>
      <c r="O661" s="20" t="n"/>
      <c r="P661" s="20">
        <f>O661-N661</f>
        <v/>
      </c>
      <c r="Q661" s="20">
        <f>P661*E661</f>
        <v/>
      </c>
      <c r="R661" s="20" t="n"/>
    </row>
    <row r="662" ht="20" customHeight="1" s="1">
      <c r="A662" s="21" t="inlineStr">
        <is>
          <t>21940</t>
        </is>
      </c>
      <c r="B662" s="22" t="inlineStr">
        <is>
          <t>VORTEX</t>
        </is>
      </c>
      <c r="C662" s="21" t="inlineStr">
        <is>
          <t>4823071662955</t>
        </is>
      </c>
      <c r="D662" s="22" t="inlineStr">
        <is>
          <t>Vortex temizlik bezi viskoz 3ed</t>
        </is>
      </c>
      <c r="E662" s="23" t="n">
        <v>3.1</v>
      </c>
      <c r="F662" s="23" t="n">
        <v>24</v>
      </c>
      <c r="G662" s="23" t="n">
        <v>79</v>
      </c>
      <c r="H662" s="23" t="n"/>
      <c r="I662" s="23" t="n"/>
      <c r="J662" s="23" t="n"/>
      <c r="K662" s="19">
        <f>H662+I662+J662</f>
        <v/>
      </c>
      <c r="L662" s="19">
        <f>K662-G662</f>
        <v/>
      </c>
      <c r="M662" s="20">
        <f>L662*E662</f>
        <v/>
      </c>
      <c r="N662" s="20" t="n">
        <v>50</v>
      </c>
      <c r="O662" s="20" t="n"/>
      <c r="P662" s="20">
        <f>O662-N662</f>
        <v/>
      </c>
      <c r="Q662" s="20">
        <f>P662*E662</f>
        <v/>
      </c>
      <c r="R662" s="20" t="n"/>
    </row>
    <row r="663" ht="20" customHeight="1" s="1">
      <c r="A663" s="16" t="inlineStr">
        <is>
          <t>21941</t>
        </is>
      </c>
      <c r="B663" s="17" t="inlineStr">
        <is>
          <t>VORTEX</t>
        </is>
      </c>
      <c r="C663" s="16" t="inlineStr">
        <is>
          <t>4823071662931</t>
        </is>
      </c>
      <c r="D663" s="17" t="inlineStr">
        <is>
          <t>Vortex temizlik bezi viskoz yumusaq 5ed</t>
        </is>
      </c>
      <c r="E663" s="18" t="n">
        <v>4.85</v>
      </c>
      <c r="F663" s="18" t="n">
        <v>24</v>
      </c>
      <c r="G663" s="18" t="n">
        <v>51</v>
      </c>
      <c r="H663" s="18" t="n"/>
      <c r="I663" s="18" t="n"/>
      <c r="J663" s="18" t="n"/>
      <c r="K663" s="19">
        <f>H663+I663+J663</f>
        <v/>
      </c>
      <c r="L663" s="19">
        <f>K663-G663</f>
        <v/>
      </c>
      <c r="M663" s="20">
        <f>L663*E663</f>
        <v/>
      </c>
      <c r="N663" s="20" t="n">
        <v>50</v>
      </c>
      <c r="O663" s="20" t="n"/>
      <c r="P663" s="20">
        <f>O663-N663</f>
        <v/>
      </c>
      <c r="Q663" s="20">
        <f>P663*E663</f>
        <v/>
      </c>
      <c r="R663" s="20" t="n"/>
    </row>
    <row r="664" ht="20" customHeight="1" s="1">
      <c r="A664" s="21" t="inlineStr">
        <is>
          <t>22098</t>
        </is>
      </c>
      <c r="B664" s="22" t="inlineStr">
        <is>
          <t>VORTEX</t>
        </is>
      </c>
      <c r="C664" s="21" t="inlineStr">
        <is>
          <t>4823071623697</t>
        </is>
      </c>
      <c r="D664" s="22" t="inlineStr">
        <is>
          <t>Vortex metbex silgisi seluloz sungerli 3ed</t>
        </is>
      </c>
      <c r="E664" s="23" t="n">
        <v>2.9</v>
      </c>
      <c r="F664" s="23" t="n">
        <v>24</v>
      </c>
      <c r="G664" s="23" t="n">
        <v>81</v>
      </c>
      <c r="H664" s="23" t="n"/>
      <c r="I664" s="23" t="n"/>
      <c r="J664" s="23" t="n"/>
      <c r="K664" s="19">
        <f>H664+I664+J664</f>
        <v/>
      </c>
      <c r="L664" s="19">
        <f>K664-G664</f>
        <v/>
      </c>
      <c r="M664" s="20">
        <f>L664*E664</f>
        <v/>
      </c>
      <c r="N664" s="20" t="n">
        <v>50</v>
      </c>
      <c r="O664" s="20" t="n"/>
      <c r="P664" s="20">
        <f>O664-N664</f>
        <v/>
      </c>
      <c r="Q664" s="20">
        <f>P664*E664</f>
        <v/>
      </c>
      <c r="R664" s="20" t="n"/>
    </row>
    <row r="665" ht="20" customHeight="1" s="1">
      <c r="A665" s="16" t="inlineStr">
        <is>
          <t>22099</t>
        </is>
      </c>
      <c r="B665" s="17" t="inlineStr">
        <is>
          <t>VORTEX</t>
        </is>
      </c>
      <c r="C665" s="16" t="inlineStr">
        <is>
          <t>4823071662979</t>
        </is>
      </c>
      <c r="D665" s="17" t="inlineStr">
        <is>
          <t>Vortex metbex silgisi seluloz 3ed</t>
        </is>
      </c>
      <c r="E665" s="18" t="n">
        <v>2.8</v>
      </c>
      <c r="F665" s="18" t="n">
        <v>18</v>
      </c>
      <c r="G665" s="18" t="n">
        <v>113</v>
      </c>
      <c r="H665" s="18" t="n"/>
      <c r="I665" s="18" t="n"/>
      <c r="J665" s="18" t="n"/>
      <c r="K665" s="19">
        <f>H665+I665+J665</f>
        <v/>
      </c>
      <c r="L665" s="19">
        <f>K665-G665</f>
        <v/>
      </c>
      <c r="M665" s="20">
        <f>L665*E665</f>
        <v/>
      </c>
      <c r="N665" s="20" t="n">
        <v>50</v>
      </c>
      <c r="O665" s="20" t="n"/>
      <c r="P665" s="20">
        <f>O665-N665</f>
        <v/>
      </c>
      <c r="Q665" s="20">
        <f>P665*E665</f>
        <v/>
      </c>
      <c r="R665" s="20" t="n"/>
    </row>
    <row r="666" ht="20" customHeight="1" s="1">
      <c r="A666" s="21" t="inlineStr">
        <is>
          <t>21945</t>
        </is>
      </c>
      <c r="B666" s="22" t="inlineStr">
        <is>
          <t>PRO SERVICE</t>
        </is>
      </c>
      <c r="C666" s="21" t="inlineStr">
        <is>
          <t>4823071607673</t>
        </is>
      </c>
      <c r="D666" s="22" t="inlineStr">
        <is>
          <t>Pro Service metbex sungeri sert 5ed</t>
        </is>
      </c>
      <c r="E666" s="23" t="n">
        <v>2.4</v>
      </c>
      <c r="F666" s="23" t="n">
        <v>22</v>
      </c>
      <c r="G666" s="23" t="n">
        <v>49</v>
      </c>
      <c r="H666" s="23" t="n"/>
      <c r="I666" s="23" t="n"/>
      <c r="J666" s="23" t="n"/>
      <c r="K666" s="19">
        <f>H666+I666+J666</f>
        <v/>
      </c>
      <c r="L666" s="19">
        <f>K666-G666</f>
        <v/>
      </c>
      <c r="M666" s="20">
        <f>L666*E666</f>
        <v/>
      </c>
      <c r="N666" s="20" t="n">
        <v>50</v>
      </c>
      <c r="O666" s="20" t="n"/>
      <c r="P666" s="20">
        <f>O666-N666</f>
        <v/>
      </c>
      <c r="Q666" s="20">
        <f>P666*E666</f>
        <v/>
      </c>
      <c r="R666" s="20" t="n"/>
    </row>
    <row r="667" ht="20" customHeight="1" s="1">
      <c r="A667" s="16" t="inlineStr">
        <is>
          <t>21946</t>
        </is>
      </c>
      <c r="B667" s="17" t="inlineStr">
        <is>
          <t>PRO SERVICE</t>
        </is>
      </c>
      <c r="C667" s="16" t="inlineStr">
        <is>
          <t>4820048483711</t>
        </is>
      </c>
      <c r="D667" s="17" t="inlineStr">
        <is>
          <t>Pro Service metbex sungeri standart 10ed</t>
        </is>
      </c>
      <c r="E667" s="18" t="n">
        <v>3.4</v>
      </c>
      <c r="F667" s="18" t="n">
        <v>46</v>
      </c>
      <c r="G667" s="18" t="n">
        <v>112</v>
      </c>
      <c r="H667" s="18" t="n"/>
      <c r="I667" s="18" t="n"/>
      <c r="J667" s="18" t="n"/>
      <c r="K667" s="19">
        <f>H667+I667+J667</f>
        <v/>
      </c>
      <c r="L667" s="19">
        <f>K667-G667</f>
        <v/>
      </c>
      <c r="M667" s="20">
        <f>L667*E667</f>
        <v/>
      </c>
      <c r="N667" s="20" t="n">
        <v>50</v>
      </c>
      <c r="O667" s="20" t="n"/>
      <c r="P667" s="20">
        <f>O667-N667</f>
        <v/>
      </c>
      <c r="Q667" s="20">
        <f>P667*E667</f>
        <v/>
      </c>
      <c r="R667" s="20" t="n"/>
    </row>
    <row r="668" ht="20" customHeight="1" s="1">
      <c r="A668" s="21" t="inlineStr">
        <is>
          <t>21722</t>
        </is>
      </c>
      <c r="B668" s="22" t="inlineStr">
        <is>
          <t>PRO SERVICE</t>
        </is>
      </c>
      <c r="C668" s="21" t="inlineStr">
        <is>
          <t>4820048488006</t>
        </is>
      </c>
      <c r="D668" s="22" t="inlineStr">
        <is>
          <t>Pro Service Zibil torbasi qara 60x80 60l 20ed</t>
        </is>
      </c>
      <c r="E668" s="23" t="n">
        <v>3.55</v>
      </c>
      <c r="F668" s="23" t="n">
        <v>25</v>
      </c>
      <c r="G668" s="23" t="n">
        <v>36</v>
      </c>
      <c r="H668" s="23" t="n"/>
      <c r="I668" s="23" t="n"/>
      <c r="J668" s="23" t="n"/>
      <c r="K668" s="19">
        <f>H668+I668+J668</f>
        <v/>
      </c>
      <c r="L668" s="19">
        <f>K668-G668</f>
        <v/>
      </c>
      <c r="M668" s="20">
        <f>L668*E668</f>
        <v/>
      </c>
      <c r="N668" s="20" t="n">
        <v>50</v>
      </c>
      <c r="O668" s="20" t="n"/>
      <c r="P668" s="20">
        <f>O668-N668</f>
        <v/>
      </c>
      <c r="Q668" s="20">
        <f>P668*E668</f>
        <v/>
      </c>
      <c r="R668" s="20" t="n"/>
    </row>
    <row r="669" ht="20" customHeight="1" s="1">
      <c r="A669" s="16" t="inlineStr">
        <is>
          <t>21727</t>
        </is>
      </c>
      <c r="B669" s="17" t="inlineStr">
        <is>
          <t>PRO SERVICE</t>
        </is>
      </c>
      <c r="C669" s="16" t="inlineStr">
        <is>
          <t>4823071615760</t>
        </is>
      </c>
      <c r="D669" s="17" t="inlineStr">
        <is>
          <t>Pro Service Zibil torbasi qara 90x110 160l 20ed</t>
        </is>
      </c>
      <c r="E669" s="18" t="n">
        <v>7.85</v>
      </c>
      <c r="F669" s="18" t="n">
        <v>10</v>
      </c>
      <c r="G669" s="18" t="n">
        <v>14</v>
      </c>
      <c r="H669" s="18" t="n"/>
      <c r="I669" s="18" t="n"/>
      <c r="J669" s="18" t="n"/>
      <c r="K669" s="19" t="n"/>
      <c r="L669" s="19" t="n"/>
      <c r="M669" s="20" t="n"/>
      <c r="N669" s="20" t="n">
        <v>50</v>
      </c>
      <c r="O669" s="20" t="n"/>
      <c r="P669" s="20">
        <f>O669-N669</f>
        <v/>
      </c>
      <c r="Q669" s="20">
        <f>P669*E669</f>
        <v/>
      </c>
      <c r="R669" s="20" t="n"/>
    </row>
    <row r="670" ht="20" customHeight="1" s="1">
      <c r="A670" s="21" t="inlineStr">
        <is>
          <t>21724</t>
        </is>
      </c>
      <c r="B670" s="22" t="inlineStr">
        <is>
          <t>PRO SERVICE</t>
        </is>
      </c>
      <c r="C670" s="21" t="inlineStr">
        <is>
          <t>4823071616170</t>
        </is>
      </c>
      <c r="D670" s="22" t="inlineStr">
        <is>
          <t>Pro Service Zibil torbasi ag 90x110 160l 10ed</t>
        </is>
      </c>
      <c r="E670" s="23" t="n">
        <v>5.85</v>
      </c>
      <c r="F670" s="23" t="n">
        <v>15</v>
      </c>
      <c r="G670" s="23" t="n">
        <v>37</v>
      </c>
      <c r="H670" s="23" t="n"/>
      <c r="I670" s="23" t="n"/>
      <c r="J670" s="23" t="n"/>
      <c r="K670" s="19">
        <f>H670+I670+J670</f>
        <v/>
      </c>
      <c r="L670" s="19">
        <f>K670-G670</f>
        <v/>
      </c>
      <c r="M670" s="20">
        <f>L670*E670</f>
        <v/>
      </c>
      <c r="N670" s="20" t="n">
        <v>50</v>
      </c>
      <c r="O670" s="20" t="n"/>
      <c r="P670" s="20">
        <f>O670-N670</f>
        <v/>
      </c>
      <c r="Q670" s="20">
        <f>P670*E670</f>
        <v/>
      </c>
      <c r="R670" s="20" t="n"/>
    </row>
    <row r="671" ht="20" customHeight="1" s="1">
      <c r="A671" s="16" t="inlineStr">
        <is>
          <t>21725</t>
        </is>
      </c>
      <c r="B671" s="17" t="inlineStr">
        <is>
          <t>PRO SERVICE</t>
        </is>
      </c>
      <c r="C671" s="16" t="inlineStr">
        <is>
          <t>4823071621815</t>
        </is>
      </c>
      <c r="D671" s="17" t="inlineStr">
        <is>
          <t>Pro Service Zibil torbasi qara 2qat 90x110 160l 10ed</t>
        </is>
      </c>
      <c r="E671" s="18" t="n">
        <v>7.4</v>
      </c>
      <c r="F671" s="18" t="n">
        <v>5</v>
      </c>
      <c r="G671" s="18" t="n">
        <v>15</v>
      </c>
      <c r="H671" s="18" t="n"/>
      <c r="I671" s="18" t="n"/>
      <c r="J671" s="18" t="n"/>
      <c r="K671" s="19">
        <f>H671+I671+J671</f>
        <v/>
      </c>
      <c r="L671" s="19">
        <f>K671-G671</f>
        <v/>
      </c>
      <c r="M671" s="20">
        <f>L671*E671</f>
        <v/>
      </c>
      <c r="N671" s="20" t="n">
        <v>50</v>
      </c>
      <c r="O671" s="20" t="n"/>
      <c r="P671" s="20">
        <f>O671-N671</f>
        <v/>
      </c>
      <c r="Q671" s="20">
        <f>P671*E671</f>
        <v/>
      </c>
      <c r="R671" s="20" t="n"/>
    </row>
    <row r="672" ht="20" customHeight="1" s="1">
      <c r="A672" s="21" t="inlineStr">
        <is>
          <t>21728</t>
        </is>
      </c>
      <c r="B672" s="22" t="inlineStr">
        <is>
          <t>PRO SERVICE</t>
        </is>
      </c>
      <c r="C672" s="21" t="inlineStr">
        <is>
          <t>4823071621822</t>
        </is>
      </c>
      <c r="D672" s="22" t="inlineStr">
        <is>
          <t>Pro Service Zibil torbasi qara 2qat 90x125 240l 5ed</t>
        </is>
      </c>
      <c r="E672" s="23" t="n">
        <v>6.65</v>
      </c>
      <c r="F672" s="23" t="n">
        <v>5</v>
      </c>
      <c r="G672" s="23" t="n">
        <v>18</v>
      </c>
      <c r="H672" s="23" t="n"/>
      <c r="I672" s="23" t="n"/>
      <c r="J672" s="23" t="n"/>
      <c r="K672" s="19">
        <f>H672+I672+J672</f>
        <v/>
      </c>
      <c r="L672" s="19">
        <f>K672-G672</f>
        <v/>
      </c>
      <c r="M672" s="20">
        <f>L672*E672</f>
        <v/>
      </c>
      <c r="N672" s="20" t="n">
        <v>50</v>
      </c>
      <c r="O672" s="20" t="n"/>
      <c r="P672" s="20">
        <f>O672-N672</f>
        <v/>
      </c>
      <c r="Q672" s="20">
        <f>P672*E672</f>
        <v/>
      </c>
      <c r="R672" s="20" t="n"/>
    </row>
    <row r="673" ht="20" customHeight="1" s="1">
      <c r="A673" s="16" t="inlineStr">
        <is>
          <t>21735</t>
        </is>
      </c>
      <c r="B673" s="17" t="inlineStr">
        <is>
          <t>PRO SERVICE</t>
        </is>
      </c>
      <c r="C673" s="16" t="inlineStr">
        <is>
          <t>4823071607710</t>
        </is>
      </c>
      <c r="D673" s="17" t="inlineStr">
        <is>
          <t>Pro Service temizlik bezi sari 30x38sm 10ed</t>
        </is>
      </c>
      <c r="E673" s="18" t="n">
        <v>3.5</v>
      </c>
      <c r="F673" s="18" t="n">
        <v>20</v>
      </c>
      <c r="G673" s="18" t="n">
        <v>21</v>
      </c>
      <c r="H673" s="18" t="n"/>
      <c r="I673" s="18" t="n"/>
      <c r="J673" s="18" t="n"/>
      <c r="K673" s="19">
        <f>H673+I673+J673</f>
        <v/>
      </c>
      <c r="L673" s="19">
        <f>K673-G673</f>
        <v/>
      </c>
      <c r="M673" s="20">
        <f>L673*E673</f>
        <v/>
      </c>
      <c r="N673" s="20" t="n">
        <v>50</v>
      </c>
      <c r="O673" s="20" t="n"/>
      <c r="P673" s="20">
        <f>O673-N673</f>
        <v/>
      </c>
      <c r="Q673" s="20">
        <f>P673*E673</f>
        <v/>
      </c>
      <c r="R673" s="20" t="n"/>
    </row>
    <row r="674" ht="20" customHeight="1" s="1">
      <c r="A674" s="21" t="inlineStr">
        <is>
          <t>21721</t>
        </is>
      </c>
      <c r="B674" s="22" t="inlineStr">
        <is>
          <t>PRO SERVICE</t>
        </is>
      </c>
      <c r="C674" s="21" t="inlineStr">
        <is>
          <t>4823071658477</t>
        </is>
      </c>
      <c r="D674" s="22" t="inlineStr">
        <is>
          <t>Pro Service seth temizleyici qara metal 1ed</t>
        </is>
      </c>
      <c r="E674" s="23" t="n">
        <v>0.7</v>
      </c>
      <c r="F674" s="23" t="n">
        <v>72</v>
      </c>
      <c r="G674" s="23" t="n">
        <v>272</v>
      </c>
      <c r="H674" s="23" t="n"/>
      <c r="I674" s="23" t="n"/>
      <c r="J674" s="23" t="n"/>
      <c r="K674" s="19">
        <f>H674+I674+J674</f>
        <v/>
      </c>
      <c r="L674" s="19">
        <f>K674-G674</f>
        <v/>
      </c>
      <c r="M674" s="20">
        <f>L674*E674</f>
        <v/>
      </c>
      <c r="N674" s="20" t="n">
        <v>50</v>
      </c>
      <c r="O674" s="20" t="n"/>
      <c r="P674" s="20">
        <f>O674-N674</f>
        <v/>
      </c>
      <c r="Q674" s="20">
        <f>P674*E674</f>
        <v/>
      </c>
      <c r="R674" s="20" t="n"/>
    </row>
    <row r="675" ht="20" customHeight="1" s="1">
      <c r="A675" s="16" t="inlineStr">
        <is>
          <t>21729</t>
        </is>
      </c>
      <c r="B675" s="17" t="inlineStr">
        <is>
          <t>PRO SERVICE</t>
        </is>
      </c>
      <c r="C675" s="16" t="inlineStr">
        <is>
          <t>4823071622959</t>
        </is>
      </c>
      <c r="D675" s="17" t="inlineStr">
        <is>
          <t>Pro Service rezin elcek universal (L) 100ed</t>
        </is>
      </c>
      <c r="E675" s="18" t="n">
        <v>12</v>
      </c>
      <c r="F675" s="18" t="n">
        <v>10</v>
      </c>
      <c r="G675" s="18" t="n">
        <v>8</v>
      </c>
      <c r="H675" s="18" t="n"/>
      <c r="I675" s="18" t="n"/>
      <c r="J675" s="18" t="n"/>
      <c r="K675" s="19" t="n"/>
      <c r="L675" s="19" t="n"/>
      <c r="M675" s="20" t="n"/>
      <c r="N675" s="20" t="n">
        <v>50</v>
      </c>
      <c r="O675" s="20" t="n"/>
      <c r="P675" s="20">
        <f>O675-N675</f>
        <v/>
      </c>
      <c r="Q675" s="20">
        <f>P675*E675</f>
        <v/>
      </c>
      <c r="R675" s="20" t="n"/>
    </row>
    <row r="676" ht="20" customHeight="1" s="1">
      <c r="A676" s="21" t="inlineStr">
        <is>
          <t>21730</t>
        </is>
      </c>
      <c r="B676" s="22" t="inlineStr">
        <is>
          <t>PRO SERVICE</t>
        </is>
      </c>
      <c r="C676" s="21" t="inlineStr">
        <is>
          <t>4823071622966</t>
        </is>
      </c>
      <c r="D676" s="22" t="inlineStr">
        <is>
          <t>Pro Service rezin elcek universal (M) 100ed</t>
        </is>
      </c>
      <c r="E676" s="23" t="n">
        <v>12</v>
      </c>
      <c r="F676" s="23" t="n">
        <v>10</v>
      </c>
      <c r="G676" s="23" t="n">
        <v>10</v>
      </c>
      <c r="H676" s="23" t="n"/>
      <c r="I676" s="23" t="n"/>
      <c r="J676" s="23" t="n"/>
      <c r="K676" s="19" t="n"/>
      <c r="L676" s="19" t="n"/>
      <c r="M676" s="20" t="n"/>
      <c r="N676" s="20" t="n">
        <v>50</v>
      </c>
      <c r="O676" s="20" t="n"/>
      <c r="P676" s="20">
        <f>O676-N676</f>
        <v/>
      </c>
      <c r="Q676" s="20">
        <f>P676*E676</f>
        <v/>
      </c>
      <c r="R676" s="20" t="n"/>
    </row>
    <row r="677" ht="20" customHeight="1" s="1">
      <c r="A677" s="16" t="inlineStr">
        <is>
          <t>21942</t>
        </is>
      </c>
      <c r="B677" s="17" t="inlineStr">
        <is>
          <t>PRO SERVICE</t>
        </is>
      </c>
      <c r="C677" s="16" t="inlineStr">
        <is>
          <t>4823071628654</t>
        </is>
      </c>
      <c r="D677" s="17" t="inlineStr">
        <is>
          <t>Pro Service rezin elcek profesional cehrayi 1cut (M)</t>
        </is>
      </c>
      <c r="E677" s="18" t="n">
        <v>3.8</v>
      </c>
      <c r="F677" s="18" t="n">
        <v>144</v>
      </c>
      <c r="G677" s="18" t="n">
        <v>70</v>
      </c>
      <c r="H677" s="18" t="n"/>
      <c r="I677" s="18" t="n"/>
      <c r="J677" s="18" t="n"/>
      <c r="K677" s="19">
        <f>H677+I677+J677</f>
        <v/>
      </c>
      <c r="L677" s="19">
        <f>K677-G677</f>
        <v/>
      </c>
      <c r="M677" s="20">
        <f>L677*E677</f>
        <v/>
      </c>
      <c r="N677" s="20" t="n">
        <v>50</v>
      </c>
      <c r="O677" s="20" t="n"/>
      <c r="P677" s="20">
        <f>O677-N677</f>
        <v/>
      </c>
      <c r="Q677" s="20">
        <f>P677*E677</f>
        <v/>
      </c>
      <c r="R677" s="20" t="n"/>
    </row>
    <row r="678" ht="20" customHeight="1" s="1">
      <c r="A678" s="21" t="inlineStr">
        <is>
          <t>21943</t>
        </is>
      </c>
      <c r="B678" s="22" t="inlineStr">
        <is>
          <t>PRO SERVICE</t>
        </is>
      </c>
      <c r="C678" s="21" t="inlineStr">
        <is>
          <t>4823071628661</t>
        </is>
      </c>
      <c r="D678" s="22" t="inlineStr">
        <is>
          <t>Pro Service rezin elcek profesional cehrayi 1cut (L)</t>
        </is>
      </c>
      <c r="E678" s="23" t="n">
        <v>3.8</v>
      </c>
      <c r="F678" s="23" t="n">
        <v>144</v>
      </c>
      <c r="G678" s="23" t="n">
        <v>49</v>
      </c>
      <c r="H678" s="23" t="n"/>
      <c r="I678" s="23" t="n"/>
      <c r="J678" s="23" t="n"/>
      <c r="K678" s="19">
        <f>H678+I678+J678</f>
        <v/>
      </c>
      <c r="L678" s="19">
        <f>K678-G678</f>
        <v/>
      </c>
      <c r="M678" s="20">
        <f>L678*E678</f>
        <v/>
      </c>
      <c r="N678" s="20" t="n">
        <v>50</v>
      </c>
      <c r="O678" s="20" t="n"/>
      <c r="P678" s="20">
        <f>O678-N678</f>
        <v/>
      </c>
      <c r="Q678" s="20">
        <f>P678*E678</f>
        <v/>
      </c>
      <c r="R678" s="20" t="n"/>
    </row>
    <row r="679" ht="20" customHeight="1" s="1">
      <c r="A679" s="16" t="inlineStr">
        <is>
          <t>21944</t>
        </is>
      </c>
      <c r="B679" s="17" t="inlineStr">
        <is>
          <t>PRO SERVICE</t>
        </is>
      </c>
      <c r="C679" s="16" t="inlineStr">
        <is>
          <t>4823071638806</t>
        </is>
      </c>
      <c r="D679" s="17" t="inlineStr">
        <is>
          <t>Pro Service nitril elcek q/steril tozsuz aciq mavi (M) 100ed</t>
        </is>
      </c>
      <c r="E679" s="18" t="n">
        <v>14.5</v>
      </c>
      <c r="F679" s="18" t="n">
        <v>10</v>
      </c>
      <c r="G679" s="18" t="n">
        <v>24</v>
      </c>
      <c r="H679" s="18" t="n"/>
      <c r="I679" s="18" t="n"/>
      <c r="J679" s="18" t="n"/>
      <c r="K679" s="19" t="n"/>
      <c r="L679" s="19" t="n"/>
      <c r="M679" s="20" t="n"/>
      <c r="N679" s="20" t="n">
        <v>50</v>
      </c>
      <c r="O679" s="20" t="n"/>
      <c r="P679" s="20">
        <f>O679-N679</f>
        <v/>
      </c>
      <c r="Q679" s="20">
        <f>P679*E679</f>
        <v/>
      </c>
      <c r="R679" s="20" t="n"/>
    </row>
    <row r="680" ht="20" customHeight="1" s="1">
      <c r="A680" s="21" t="inlineStr">
        <is>
          <t>21731</t>
        </is>
      </c>
      <c r="B680" s="22" t="inlineStr">
        <is>
          <t>PRO SERVICE</t>
        </is>
      </c>
      <c r="C680" s="21" t="inlineStr">
        <is>
          <t>4823071638790</t>
        </is>
      </c>
      <c r="D680" s="22" t="inlineStr">
        <is>
          <t>Pro Service nitril elcek q/steril tozsuz aciq mavi (L) 100ed</t>
        </is>
      </c>
      <c r="E680" s="23" t="n">
        <v>14.5</v>
      </c>
      <c r="F680" s="23" t="n">
        <v>10</v>
      </c>
      <c r="G680" s="23" t="n">
        <v>34</v>
      </c>
      <c r="H680" s="23" t="n"/>
      <c r="I680" s="23" t="n"/>
      <c r="J680" s="23" t="n"/>
      <c r="K680" s="19">
        <f>H680+I680+J680</f>
        <v/>
      </c>
      <c r="L680" s="19">
        <f>K680-G680</f>
        <v/>
      </c>
      <c r="M680" s="20">
        <f>L680*E680</f>
        <v/>
      </c>
      <c r="N680" s="20" t="n">
        <v>50</v>
      </c>
      <c r="O680" s="20" t="n"/>
      <c r="P680" s="20">
        <f>O680-N680</f>
        <v/>
      </c>
      <c r="Q680" s="20">
        <f>P680*E680</f>
        <v/>
      </c>
      <c r="R680" s="20" t="n"/>
    </row>
    <row r="681" ht="20" customHeight="1" s="1">
      <c r="A681" s="16" t="inlineStr">
        <is>
          <t>21732</t>
        </is>
      </c>
      <c r="B681" s="17" t="inlineStr">
        <is>
          <t>PRO SERVICE</t>
        </is>
      </c>
      <c r="C681" s="16" t="inlineStr">
        <is>
          <t>4823071638813</t>
        </is>
      </c>
      <c r="D681" s="17" t="inlineStr">
        <is>
          <t>Pro Service nitril elcek q/steril tozsuz aciq mavi (S) 100ed</t>
        </is>
      </c>
      <c r="E681" s="18" t="n">
        <v>14.5</v>
      </c>
      <c r="F681" s="18" t="n">
        <v>10</v>
      </c>
      <c r="G681" s="18" t="n">
        <v>29</v>
      </c>
      <c r="H681" s="18" t="n"/>
      <c r="I681" s="18" t="n"/>
      <c r="J681" s="18" t="n"/>
      <c r="K681" s="19">
        <f>H681+I681+J681</f>
        <v/>
      </c>
      <c r="L681" s="19">
        <f>K681-G681</f>
        <v/>
      </c>
      <c r="M681" s="20">
        <f>L681*E681</f>
        <v/>
      </c>
      <c r="N681" s="20" t="n">
        <v>50</v>
      </c>
      <c r="O681" s="20" t="n"/>
      <c r="P681" s="20">
        <f>O681-N681</f>
        <v/>
      </c>
      <c r="Q681" s="20">
        <f>P681*E681</f>
        <v/>
      </c>
      <c r="R681" s="20" t="n"/>
    </row>
    <row r="682" ht="20" customHeight="1" s="1">
      <c r="A682" s="21" t="inlineStr">
        <is>
          <t>21733</t>
        </is>
      </c>
      <c r="B682" s="22" t="inlineStr">
        <is>
          <t>PRO SERVICE</t>
        </is>
      </c>
      <c r="C682" s="21" t="inlineStr">
        <is>
          <t>4823071638837</t>
        </is>
      </c>
      <c r="D682" s="22" t="inlineStr">
        <is>
          <t>Pro Service nitril elcek q/steril tozsuz qara (M) 100ed</t>
        </is>
      </c>
      <c r="E682" s="23" t="n">
        <v>14.5</v>
      </c>
      <c r="F682" s="23" t="n">
        <v>10</v>
      </c>
      <c r="G682" s="23" t="n">
        <v>18</v>
      </c>
      <c r="H682" s="23" t="n"/>
      <c r="I682" s="23" t="n"/>
      <c r="J682" s="23" t="n"/>
      <c r="K682" s="19">
        <f>H682+I682+J682</f>
        <v/>
      </c>
      <c r="L682" s="19">
        <f>K682-G682</f>
        <v/>
      </c>
      <c r="M682" s="20">
        <f>L682*E682</f>
        <v/>
      </c>
      <c r="N682" s="20" t="n">
        <v>50</v>
      </c>
      <c r="O682" s="20" t="n"/>
      <c r="P682" s="20">
        <f>O682-N682</f>
        <v/>
      </c>
      <c r="Q682" s="20">
        <f>P682*E682</f>
        <v/>
      </c>
      <c r="R682" s="20" t="n"/>
    </row>
    <row r="683" ht="20" customHeight="1" s="1">
      <c r="A683" s="16" t="inlineStr">
        <is>
          <t>21734</t>
        </is>
      </c>
      <c r="B683" s="17" t="inlineStr">
        <is>
          <t>PRO SERVICE</t>
        </is>
      </c>
      <c r="C683" s="16" t="inlineStr">
        <is>
          <t>4823071607734</t>
        </is>
      </c>
      <c r="D683" s="17" t="inlineStr">
        <is>
          <t>Pro Servise polietilen elcek 500ed</t>
        </is>
      </c>
      <c r="E683" s="18" t="n">
        <v>12</v>
      </c>
      <c r="F683" s="18" t="n">
        <v>20</v>
      </c>
      <c r="G683" s="18" t="n">
        <v>72</v>
      </c>
      <c r="H683" s="18" t="n"/>
      <c r="I683" s="18" t="n"/>
      <c r="J683" s="18" t="n"/>
      <c r="K683" s="19">
        <f>H683+I683+J683</f>
        <v/>
      </c>
      <c r="L683" s="19">
        <f>K683-G683</f>
        <v/>
      </c>
      <c r="M683" s="20">
        <f>L683*E683</f>
        <v/>
      </c>
      <c r="N683" s="20" t="n">
        <v>50</v>
      </c>
      <c r="O683" s="20" t="n"/>
      <c r="P683" s="20">
        <f>O683-N683</f>
        <v/>
      </c>
      <c r="Q683" s="20">
        <f>P683*E683</f>
        <v/>
      </c>
      <c r="R683" s="20" t="n"/>
    </row>
    <row r="684" ht="20" customHeight="1" s="1">
      <c r="A684" s="21" t="inlineStr">
        <is>
          <t>21736</t>
        </is>
      </c>
      <c r="B684" s="22" t="inlineStr">
        <is>
          <t>PRO SERVICE</t>
        </is>
      </c>
      <c r="C684" s="21" t="inlineStr">
        <is>
          <t>4823071607727</t>
        </is>
      </c>
      <c r="D684" s="22" t="inlineStr">
        <is>
          <t>Pro Service metbex silgisi seluloz sari 16х16sm 10ed</t>
        </is>
      </c>
      <c r="E684" s="23" t="n">
        <v>6.1</v>
      </c>
      <c r="F684" s="23" t="n">
        <v>22</v>
      </c>
      <c r="G684" s="23" t="n">
        <v>19</v>
      </c>
      <c r="H684" s="23" t="n"/>
      <c r="I684" s="23" t="n"/>
      <c r="J684" s="23" t="n"/>
      <c r="K684" s="19" t="n"/>
      <c r="L684" s="19" t="n"/>
      <c r="M684" s="20" t="n"/>
      <c r="N684" s="20" t="n">
        <v>50</v>
      </c>
      <c r="O684" s="20" t="n"/>
      <c r="P684" s="20">
        <f>O684-N684</f>
        <v/>
      </c>
      <c r="Q684" s="20">
        <f>P684*E684</f>
        <v/>
      </c>
      <c r="R684" s="20" t="n"/>
    </row>
    <row r="685" ht="20" customHeight="1" s="1">
      <c r="A685" s="16" t="inlineStr">
        <is>
          <t>22101</t>
        </is>
      </c>
      <c r="B685" s="17" t="inlineStr">
        <is>
          <t>PRO SERVICE</t>
        </is>
      </c>
      <c r="C685" s="16" t="inlineStr">
        <is>
          <t>4823071661118</t>
        </is>
      </c>
      <c r="D685" s="17" t="inlineStr">
        <is>
          <t>Pro Service metbex silgisi seluloz su hopdurucu 3ed</t>
        </is>
      </c>
      <c r="E685" s="18" t="n">
        <v>2.8</v>
      </c>
      <c r="F685" s="18" t="n">
        <v>18</v>
      </c>
      <c r="G685" s="18" t="n">
        <v>18</v>
      </c>
      <c r="H685" s="18" t="n"/>
      <c r="I685" s="18" t="n"/>
      <c r="J685" s="18" t="n"/>
      <c r="K685" s="19">
        <f>H685+I685+J685</f>
        <v/>
      </c>
      <c r="L685" s="19">
        <f>K685-G685</f>
        <v/>
      </c>
      <c r="M685" s="20">
        <f>L685*E685</f>
        <v/>
      </c>
      <c r="N685" s="20" t="n">
        <v>50</v>
      </c>
      <c r="O685" s="20" t="n"/>
      <c r="P685" s="20">
        <f>O685-N685</f>
        <v/>
      </c>
      <c r="Q685" s="20">
        <f>P685*E685</f>
        <v/>
      </c>
      <c r="R685" s="20" t="n"/>
    </row>
    <row r="686" ht="20" customHeight="1" s="1">
      <c r="A686" s="21" t="inlineStr">
        <is>
          <t>22102</t>
        </is>
      </c>
      <c r="B686" s="22" t="inlineStr">
        <is>
          <t>PRO SERVICE</t>
        </is>
      </c>
      <c r="C686" s="21" t="inlineStr">
        <is>
          <t>4823071661248</t>
        </is>
      </c>
      <c r="D686" s="22" t="inlineStr">
        <is>
          <t>Pro Service metbex silgisi seluloz su hopdurucu 5ed</t>
        </is>
      </c>
      <c r="E686" s="23" t="n">
        <v>3.8</v>
      </c>
      <c r="F686" s="23" t="n">
        <v>10</v>
      </c>
      <c r="G686" s="23" t="n">
        <v>4</v>
      </c>
      <c r="H686" s="23" t="n"/>
      <c r="I686" s="23" t="n"/>
      <c r="J686" s="23" t="n"/>
      <c r="K686" s="19" t="n"/>
      <c r="L686" s="19" t="n"/>
      <c r="M686" s="20" t="n"/>
      <c r="N686" s="20" t="n">
        <v>50</v>
      </c>
      <c r="O686" s="20" t="n"/>
      <c r="P686" s="20">
        <f>O686-N686</f>
        <v/>
      </c>
      <c r="Q686" s="20">
        <f>P686*E686</f>
        <v/>
      </c>
      <c r="R686" s="20" t="n"/>
    </row>
    <row r="687" ht="20" customHeight="1" s="1">
      <c r="A687" s="16" t="inlineStr">
        <is>
          <t>21709</t>
        </is>
      </c>
      <c r="B687" s="17" t="inlineStr">
        <is>
          <t>PANI BLYSK</t>
        </is>
      </c>
      <c r="C687" s="16" t="inlineStr">
        <is>
          <t>4823071661194</t>
        </is>
      </c>
      <c r="D687" s="17" t="inlineStr">
        <is>
          <t>Pani Blysk metbex sungeri mesameli 5ed</t>
        </is>
      </c>
      <c r="E687" s="18" t="n">
        <v>1.85</v>
      </c>
      <c r="F687" s="18" t="n">
        <v>10</v>
      </c>
      <c r="G687" s="18" t="n">
        <v>41</v>
      </c>
      <c r="H687" s="18" t="n"/>
      <c r="I687" s="18" t="n"/>
      <c r="J687" s="18" t="n"/>
      <c r="K687" s="19">
        <f>H687+I687+J687</f>
        <v/>
      </c>
      <c r="L687" s="19">
        <f>K687-G687</f>
        <v/>
      </c>
      <c r="M687" s="20">
        <f>L687*E687</f>
        <v/>
      </c>
      <c r="N687" s="20" t="n">
        <v>50</v>
      </c>
      <c r="O687" s="20" t="n"/>
      <c r="P687" s="20">
        <f>O687-N687</f>
        <v/>
      </c>
      <c r="Q687" s="20">
        <f>P687*E687</f>
        <v/>
      </c>
      <c r="R687" s="20" t="n"/>
    </row>
    <row r="688" ht="20" customHeight="1" s="1">
      <c r="A688" s="21" t="inlineStr">
        <is>
          <t>21710</t>
        </is>
      </c>
      <c r="B688" s="22" t="inlineStr">
        <is>
          <t>PANI BLYSK</t>
        </is>
      </c>
      <c r="C688" s="21" t="inlineStr">
        <is>
          <t>4823071661231</t>
        </is>
      </c>
      <c r="D688" s="22" t="inlineStr">
        <is>
          <t>Pani Blysk metbex sungeri dalgali 5ed</t>
        </is>
      </c>
      <c r="E688" s="23" t="n">
        <v>1.85</v>
      </c>
      <c r="F688" s="23" t="n">
        <v>10</v>
      </c>
      <c r="G688" s="23" t="n">
        <v>50</v>
      </c>
      <c r="H688" s="23" t="n"/>
      <c r="I688" s="23" t="n"/>
      <c r="J688" s="23" t="n"/>
      <c r="K688" s="19">
        <f>H688+I688+J688</f>
        <v/>
      </c>
      <c r="L688" s="19">
        <f>K688-G688</f>
        <v/>
      </c>
      <c r="M688" s="20">
        <f>L688*E688</f>
        <v/>
      </c>
      <c r="N688" s="20" t="n">
        <v>50</v>
      </c>
      <c r="O688" s="20" t="n"/>
      <c r="P688" s="20">
        <f>O688-N688</f>
        <v/>
      </c>
      <c r="Q688" s="20">
        <f>P688*E688</f>
        <v/>
      </c>
      <c r="R688" s="20" t="n"/>
    </row>
    <row r="689" ht="20" customHeight="1" s="1">
      <c r="A689" s="16" t="inlineStr">
        <is>
          <t>21711</t>
        </is>
      </c>
      <c r="B689" s="17" t="inlineStr">
        <is>
          <t>PANI BLYSK</t>
        </is>
      </c>
      <c r="C689" s="16" t="inlineStr">
        <is>
          <t>4823071661200</t>
        </is>
      </c>
      <c r="D689" s="17" t="inlineStr">
        <is>
          <t>Pani Blysk Zibil torbasi ipli 60l 10ed</t>
        </is>
      </c>
      <c r="E689" s="18" t="n">
        <v>2</v>
      </c>
      <c r="F689" s="18" t="n">
        <v>60</v>
      </c>
      <c r="G689" s="18" t="n">
        <v>54</v>
      </c>
      <c r="H689" s="18" t="n"/>
      <c r="I689" s="18" t="n"/>
      <c r="J689" s="18" t="n"/>
      <c r="K689" s="19">
        <f>H689+I689+J689</f>
        <v/>
      </c>
      <c r="L689" s="19">
        <f>K689-G689</f>
        <v/>
      </c>
      <c r="M689" s="20">
        <f>L689*E689</f>
        <v/>
      </c>
      <c r="N689" s="20" t="n">
        <v>50</v>
      </c>
      <c r="O689" s="20" t="n"/>
      <c r="P689" s="20">
        <f>O689-N689</f>
        <v/>
      </c>
      <c r="Q689" s="20">
        <f>P689*E689</f>
        <v/>
      </c>
      <c r="R689" s="20" t="n"/>
    </row>
    <row r="690" ht="20" customHeight="1" s="1">
      <c r="A690" s="21" t="inlineStr">
        <is>
          <t>21712</t>
        </is>
      </c>
      <c r="B690" s="22" t="inlineStr">
        <is>
          <t>PANI BLYSK</t>
        </is>
      </c>
      <c r="C690" s="21" t="inlineStr">
        <is>
          <t>4823071661187</t>
        </is>
      </c>
      <c r="D690" s="22" t="inlineStr">
        <is>
          <t>Pani Blysk Zibil torbasi 120l 10ed</t>
        </is>
      </c>
      <c r="E690" s="23" t="n">
        <v>3.9</v>
      </c>
      <c r="F690" s="23" t="n">
        <v>24</v>
      </c>
      <c r="G690" s="23" t="n">
        <v>19</v>
      </c>
      <c r="H690" s="23" t="n"/>
      <c r="I690" s="23" t="n"/>
      <c r="J690" s="23" t="n"/>
      <c r="K690" s="19" t="n"/>
      <c r="L690" s="19" t="n"/>
      <c r="M690" s="20" t="n"/>
      <c r="N690" s="20" t="n">
        <v>50</v>
      </c>
      <c r="O690" s="20" t="n"/>
      <c r="P690" s="20">
        <f>O690-N690</f>
        <v/>
      </c>
      <c r="Q690" s="20">
        <f>P690*E690</f>
        <v/>
      </c>
      <c r="R690" s="20" t="n"/>
    </row>
    <row r="691" ht="20" customHeight="1" s="1">
      <c r="A691" s="16" t="inlineStr">
        <is>
          <t>22100</t>
        </is>
      </c>
      <c r="B691" s="17" t="inlineStr">
        <is>
          <t>PANI BLYSK</t>
        </is>
      </c>
      <c r="C691" s="16" t="inlineStr">
        <is>
          <t>4823071661101</t>
        </is>
      </c>
      <c r="D691" s="17" t="inlineStr">
        <is>
          <t>Pani Blysk Zibil torbasi ipli 35l 15ed</t>
        </is>
      </c>
      <c r="E691" s="18" t="n">
        <v>2</v>
      </c>
      <c r="F691" s="18" t="n">
        <v>50</v>
      </c>
      <c r="G691" s="18" t="n">
        <v>81</v>
      </c>
      <c r="H691" s="18" t="n"/>
      <c r="I691" s="18" t="n"/>
      <c r="J691" s="18" t="n"/>
      <c r="K691" s="19">
        <f>H691+I691+J691</f>
        <v/>
      </c>
      <c r="L691" s="19">
        <f>K691-G691</f>
        <v/>
      </c>
      <c r="M691" s="20">
        <f>L691*E691</f>
        <v/>
      </c>
      <c r="N691" s="20" t="n">
        <v>50</v>
      </c>
      <c r="O691" s="20" t="n"/>
      <c r="P691" s="20">
        <f>O691-N691</f>
        <v/>
      </c>
      <c r="Q691" s="20">
        <f>P691*E691</f>
        <v/>
      </c>
      <c r="R691" s="20" t="n"/>
    </row>
    <row r="692" ht="20" customHeight="1" s="1">
      <c r="A692" s="21" t="inlineStr">
        <is>
          <t>21713</t>
        </is>
      </c>
      <c r="B692" s="22" t="inlineStr">
        <is>
          <t>PANI BLYSK</t>
        </is>
      </c>
      <c r="C692" s="21" t="inlineStr">
        <is>
          <t>4823071661224</t>
        </is>
      </c>
      <c r="D692" s="22" t="inlineStr">
        <is>
          <t>Pani Blysk temizlik bezi universal 3ed</t>
        </is>
      </c>
      <c r="E692" s="23" t="n">
        <v>1.9</v>
      </c>
      <c r="F692" s="23" t="n">
        <v>24</v>
      </c>
      <c r="G692" s="23" t="n">
        <v>36</v>
      </c>
      <c r="H692" s="23" t="n"/>
      <c r="I692" s="23" t="n"/>
      <c r="J692" s="23" t="n"/>
      <c r="K692" s="19">
        <f>H692+I692+J692</f>
        <v/>
      </c>
      <c r="L692" s="19">
        <f>K692-G692</f>
        <v/>
      </c>
      <c r="M692" s="20">
        <f>L692*E692</f>
        <v/>
      </c>
      <c r="N692" s="20" t="n">
        <v>50</v>
      </c>
      <c r="O692" s="20" t="n"/>
      <c r="P692" s="20">
        <f>O692-N692</f>
        <v/>
      </c>
      <c r="Q692" s="20">
        <f>P692*E692</f>
        <v/>
      </c>
      <c r="R692" s="20" t="n"/>
    </row>
    <row r="693" ht="20" customHeight="1" s="1">
      <c r="A693" s="16" t="inlineStr">
        <is>
          <t>21706</t>
        </is>
      </c>
      <c r="B693" s="17" t="inlineStr">
        <is>
          <t>PANI BLYSK</t>
        </is>
      </c>
      <c r="C693" s="16" t="inlineStr">
        <is>
          <t>4823071661255</t>
        </is>
      </c>
      <c r="D693" s="17" t="inlineStr">
        <is>
          <t>Pani Blysk Bisirme kagızı 5m</t>
        </is>
      </c>
      <c r="E693" s="18" t="n">
        <v>2.6</v>
      </c>
      <c r="F693" s="18" t="n">
        <v>30</v>
      </c>
      <c r="G693" s="18" t="n">
        <v>130</v>
      </c>
      <c r="H693" s="18" t="n"/>
      <c r="I693" s="18" t="n"/>
      <c r="J693" s="18" t="n"/>
      <c r="K693" s="19">
        <f>H693+I693+J693</f>
        <v/>
      </c>
      <c r="L693" s="19">
        <f>K693-G693</f>
        <v/>
      </c>
      <c r="M693" s="20">
        <f>L693*E693</f>
        <v/>
      </c>
      <c r="N693" s="20" t="n">
        <v>50</v>
      </c>
      <c r="O693" s="20" t="n">
        <v>30</v>
      </c>
      <c r="P693" s="20">
        <f>O693-N693</f>
        <v/>
      </c>
      <c r="Q693" s="20">
        <f>P693*E693</f>
        <v/>
      </c>
      <c r="R693" s="20" t="n"/>
    </row>
    <row r="694" ht="20" customHeight="1" s="1">
      <c r="A694" s="21" t="inlineStr">
        <is>
          <t>21707</t>
        </is>
      </c>
      <c r="B694" s="22" t="inlineStr">
        <is>
          <t>PANI BLYSK</t>
        </is>
      </c>
      <c r="C694" s="21" t="inlineStr">
        <is>
          <t>4823071661156</t>
        </is>
      </c>
      <c r="D694" s="22" t="inlineStr">
        <is>
          <t>Pani Blysk Plyonka strec 20m</t>
        </is>
      </c>
      <c r="E694" s="23" t="n">
        <v>2.2</v>
      </c>
      <c r="F694" s="23" t="n">
        <v>30</v>
      </c>
      <c r="G694" s="23" t="n">
        <v>186</v>
      </c>
      <c r="H694" s="23" t="n"/>
      <c r="I694" s="23" t="n"/>
      <c r="J694" s="23" t="n"/>
      <c r="K694" s="19">
        <f>H694+I694+J694</f>
        <v/>
      </c>
      <c r="L694" s="19">
        <f>K694-G694</f>
        <v/>
      </c>
      <c r="M694" s="20">
        <f>L694*E694</f>
        <v/>
      </c>
      <c r="N694" s="20" t="n">
        <v>50</v>
      </c>
      <c r="O694" s="20" t="n"/>
      <c r="P694" s="20">
        <f>O694-N694</f>
        <v/>
      </c>
      <c r="Q694" s="20">
        <f>P694*E694</f>
        <v/>
      </c>
      <c r="R694" s="20" t="n"/>
    </row>
    <row r="695" ht="20" customHeight="1" s="1">
      <c r="A695" s="16" t="inlineStr">
        <is>
          <t>21708</t>
        </is>
      </c>
      <c r="B695" s="17" t="inlineStr">
        <is>
          <t>PANI BLYSK</t>
        </is>
      </c>
      <c r="C695" s="16" t="inlineStr">
        <is>
          <t>4823071661163</t>
        </is>
      </c>
      <c r="D695" s="17" t="inlineStr">
        <is>
          <t>Pani Blysk Aluminium folqa 10m 10mkm</t>
        </is>
      </c>
      <c r="E695" s="18" t="n">
        <v>3</v>
      </c>
      <c r="F695" s="18" t="n">
        <v>30</v>
      </c>
      <c r="G695" s="18" t="n">
        <v>71</v>
      </c>
      <c r="H695" s="18" t="n"/>
      <c r="I695" s="18" t="n"/>
      <c r="J695" s="18" t="n"/>
      <c r="K695" s="19">
        <f>H695+I695+J695</f>
        <v/>
      </c>
      <c r="L695" s="19">
        <f>K695-G695</f>
        <v/>
      </c>
      <c r="M695" s="20">
        <f>L695*E695</f>
        <v/>
      </c>
      <c r="N695" s="20" t="n">
        <v>50</v>
      </c>
      <c r="O695" s="20" t="n"/>
      <c r="P695" s="20">
        <f>O695-N695</f>
        <v/>
      </c>
      <c r="Q695" s="20">
        <f>P695*E695</f>
        <v/>
      </c>
      <c r="R695" s="20" t="n"/>
    </row>
    <row r="696" ht="20" customHeight="1" s="1">
      <c r="A696" s="21" t="inlineStr">
        <is>
          <t>22185</t>
        </is>
      </c>
      <c r="B696" s="22" t="inlineStr">
        <is>
          <t>ALUFIX</t>
        </is>
      </c>
      <c r="C696" s="21" t="inlineStr">
        <is>
          <t>5949509002755</t>
        </is>
      </c>
      <c r="D696" s="22" t="inlineStr">
        <is>
          <t>ALUFIX yagkecirmeyen bisirme kagizi silikonlu perqament 20list</t>
        </is>
      </c>
      <c r="E696" s="23" t="n">
        <v>6</v>
      </c>
      <c r="F696" s="23" t="n">
        <v>30</v>
      </c>
      <c r="G696" s="23" t="n">
        <v>193</v>
      </c>
      <c r="H696" s="23" t="n"/>
      <c r="I696" s="23" t="n"/>
      <c r="J696" s="23" t="n"/>
      <c r="K696" s="19">
        <f>H696+I696+J696</f>
        <v/>
      </c>
      <c r="L696" s="19">
        <f>K696-G696</f>
        <v/>
      </c>
      <c r="M696" s="20">
        <f>L696*E696</f>
        <v/>
      </c>
      <c r="N696" s="20" t="n">
        <v>50</v>
      </c>
      <c r="O696" s="20" t="n"/>
      <c r="P696" s="20">
        <f>O696-N696</f>
        <v/>
      </c>
      <c r="Q696" s="20">
        <f>P696*E696</f>
        <v/>
      </c>
      <c r="R696" s="20" t="n"/>
    </row>
    <row r="697" ht="20" customHeight="1" s="1">
      <c r="A697" s="16" t="inlineStr">
        <is>
          <t>21950</t>
        </is>
      </c>
      <c r="B697" s="17" t="inlineStr">
        <is>
          <t>ALUFIX</t>
        </is>
      </c>
      <c r="C697" s="16" t="inlineStr">
        <is>
          <t>4823071655759</t>
        </is>
      </c>
      <c r="D697" s="17" t="inlineStr">
        <is>
          <t>ALUFIX Zip-Fix buzdolabi paketi 15ed</t>
        </is>
      </c>
      <c r="E697" s="18" t="n">
        <v>7.5</v>
      </c>
      <c r="F697" s="18" t="n">
        <v>30</v>
      </c>
      <c r="G697" s="18" t="n">
        <v>141</v>
      </c>
      <c r="H697" s="18" t="n"/>
      <c r="I697" s="18" t="n"/>
      <c r="J697" s="18" t="n"/>
      <c r="K697" s="19">
        <f>H697+I697+J697</f>
        <v/>
      </c>
      <c r="L697" s="19">
        <f>K697-G697</f>
        <v/>
      </c>
      <c r="M697" s="20">
        <f>L697*E697</f>
        <v/>
      </c>
      <c r="N697" s="20" t="n">
        <v>50</v>
      </c>
      <c r="O697" s="20" t="n"/>
      <c r="P697" s="20">
        <f>O697-N697</f>
        <v/>
      </c>
      <c r="Q697" s="20">
        <f>P697*E697</f>
        <v/>
      </c>
      <c r="R697" s="20" t="n"/>
    </row>
    <row r="698" ht="20" customHeight="1" s="1">
      <c r="A698" s="21" t="inlineStr">
        <is>
          <t>21951</t>
        </is>
      </c>
      <c r="B698" s="22" t="inlineStr">
        <is>
          <t>ALUFIX</t>
        </is>
      </c>
      <c r="C698" s="21" t="inlineStr">
        <is>
          <t>4823071655346</t>
        </is>
      </c>
      <c r="D698" s="22" t="inlineStr">
        <is>
          <t>ALUFIX Zibil torbasi qara Profi LDPE 70x110 120l 10ed</t>
        </is>
      </c>
      <c r="E698" s="23" t="n">
        <v>8.699999999999999</v>
      </c>
      <c r="F698" s="23" t="n">
        <v>19</v>
      </c>
      <c r="G698" s="23" t="n">
        <v>85</v>
      </c>
      <c r="H698" s="23" t="n"/>
      <c r="I698" s="23" t="n"/>
      <c r="J698" s="23" t="n"/>
      <c r="K698" s="19">
        <f>H698+I698+J698</f>
        <v/>
      </c>
      <c r="L698" s="19">
        <f>K698-G698</f>
        <v/>
      </c>
      <c r="M698" s="20">
        <f>L698*E698</f>
        <v/>
      </c>
      <c r="N698" s="20" t="n">
        <v>50</v>
      </c>
      <c r="O698" s="20" t="n"/>
      <c r="P698" s="20">
        <f>O698-N698</f>
        <v/>
      </c>
      <c r="Q698" s="20">
        <f>P698*E698</f>
        <v/>
      </c>
      <c r="R698" s="20" t="n"/>
    </row>
    <row r="699" ht="20" customHeight="1" s="1">
      <c r="A699" s="16" t="inlineStr">
        <is>
          <t>21952</t>
        </is>
      </c>
      <c r="B699" s="17" t="inlineStr">
        <is>
          <t>ALUFIX</t>
        </is>
      </c>
      <c r="C699" s="16" t="inlineStr">
        <is>
          <t>4823071655308</t>
        </is>
      </c>
      <c r="D699" s="17" t="inlineStr">
        <is>
          <t>ALUFIX Zibil torbasi qara Profi LDPE 90x110 160l 10ed</t>
        </is>
      </c>
      <c r="E699" s="18" t="n">
        <v>11.3</v>
      </c>
      <c r="F699" s="18" t="n">
        <v>12</v>
      </c>
      <c r="G699" s="18" t="n">
        <v>36</v>
      </c>
      <c r="H699" s="18" t="n"/>
      <c r="I699" s="18" t="n"/>
      <c r="J699" s="18" t="n"/>
      <c r="K699" s="19">
        <f>H699+I699+J699</f>
        <v/>
      </c>
      <c r="L699" s="19">
        <f>K699-G699</f>
        <v/>
      </c>
      <c r="M699" s="20">
        <f>L699*E699</f>
        <v/>
      </c>
      <c r="N699" s="20" t="n">
        <v>50</v>
      </c>
      <c r="O699" s="20" t="n"/>
      <c r="P699" s="20">
        <f>O699-N699</f>
        <v/>
      </c>
      <c r="Q699" s="20">
        <f>P699*E699</f>
        <v/>
      </c>
      <c r="R699" s="20" t="n"/>
    </row>
    <row r="700" ht="20" customHeight="1" s="1">
      <c r="A700" s="21" t="inlineStr">
        <is>
          <t>21953</t>
        </is>
      </c>
      <c r="B700" s="22" t="inlineStr">
        <is>
          <t>ALUFIX</t>
        </is>
      </c>
      <c r="C700" s="21" t="inlineStr">
        <is>
          <t>4823071655421</t>
        </is>
      </c>
      <c r="D700" s="22" t="inlineStr">
        <is>
          <t>ALUFIX Zibil torbasi qara Profi LDPE 80x120 180l 10ed</t>
        </is>
      </c>
      <c r="E700" s="23" t="n">
        <v>11.6</v>
      </c>
      <c r="F700" s="23" t="n">
        <v>17</v>
      </c>
      <c r="G700" s="23" t="n">
        <v>29</v>
      </c>
      <c r="H700" s="23" t="n"/>
      <c r="I700" s="23" t="n"/>
      <c r="J700" s="23" t="n"/>
      <c r="K700" s="19">
        <f>H700+I700+J700</f>
        <v/>
      </c>
      <c r="L700" s="19">
        <f>K700-G700</f>
        <v/>
      </c>
      <c r="M700" s="20">
        <f>L700*E700</f>
        <v/>
      </c>
      <c r="N700" s="20" t="n">
        <v>50</v>
      </c>
      <c r="O700" s="20" t="n"/>
      <c r="P700" s="20">
        <f>O700-N700</f>
        <v/>
      </c>
      <c r="Q700" s="20">
        <f>P700*E700</f>
        <v/>
      </c>
      <c r="R700" s="20" t="n"/>
    </row>
    <row r="701" ht="20" customHeight="1" s="1">
      <c r="A701" s="16" t="inlineStr">
        <is>
          <t>21954</t>
        </is>
      </c>
      <c r="B701" s="17" t="inlineStr">
        <is>
          <t>ALUFIX</t>
        </is>
      </c>
      <c r="C701" s="16" t="inlineStr">
        <is>
          <t>4823071655162</t>
        </is>
      </c>
      <c r="D701" s="17" t="inlineStr">
        <is>
          <t>ALUFIX Zibil torbasi qara Profi LDPE 115x135 280l 5ed</t>
        </is>
      </c>
      <c r="E701" s="18" t="n">
        <v>12.2</v>
      </c>
      <c r="F701" s="18" t="n">
        <v>15</v>
      </c>
      <c r="G701" s="18" t="n">
        <v>52</v>
      </c>
      <c r="H701" s="18" t="n"/>
      <c r="I701" s="18" t="n"/>
      <c r="J701" s="18" t="n"/>
      <c r="K701" s="19">
        <f>H701+I701+J701</f>
        <v/>
      </c>
      <c r="L701" s="19">
        <f>K701-G701</f>
        <v/>
      </c>
      <c r="M701" s="20">
        <f>L701*E701</f>
        <v/>
      </c>
      <c r="N701" s="20" t="n">
        <v>50</v>
      </c>
      <c r="O701" s="20" t="n"/>
      <c r="P701" s="20">
        <f>O701-N701</f>
        <v/>
      </c>
      <c r="Q701" s="20">
        <f>P701*E701</f>
        <v/>
      </c>
      <c r="R701" s="20" t="n"/>
    </row>
    <row r="702" ht="20" customHeight="1" s="1">
      <c r="A702" s="21" t="inlineStr">
        <is>
          <t>21955</t>
        </is>
      </c>
      <c r="B702" s="22" t="inlineStr">
        <is>
          <t>ALUFIX</t>
        </is>
      </c>
      <c r="C702" s="21" t="inlineStr">
        <is>
          <t>4823071655483</t>
        </is>
      </c>
      <c r="D702" s="22" t="inlineStr">
        <is>
          <t>ALUFIX Zibil torbasi qara HDPE 53x60 35l 30ed</t>
        </is>
      </c>
      <c r="E702" s="23" t="n">
        <v>3.75</v>
      </c>
      <c r="F702" s="23" t="n">
        <v>40</v>
      </c>
      <c r="G702" s="23" t="n">
        <v>167</v>
      </c>
      <c r="H702" s="23" t="n"/>
      <c r="I702" s="23" t="n"/>
      <c r="J702" s="23" t="n"/>
      <c r="K702" s="19">
        <f>H702+I702+J702</f>
        <v/>
      </c>
      <c r="L702" s="19">
        <f>K702-G702</f>
        <v/>
      </c>
      <c r="M702" s="20">
        <f>L702*E702</f>
        <v/>
      </c>
      <c r="N702" s="20" t="n">
        <v>50</v>
      </c>
      <c r="O702" s="20" t="n"/>
      <c r="P702" s="20">
        <f>O702-N702</f>
        <v/>
      </c>
      <c r="Q702" s="20">
        <f>P702*E702</f>
        <v/>
      </c>
      <c r="R702" s="20" t="n"/>
    </row>
    <row r="703" ht="20" customHeight="1" s="1">
      <c r="A703" s="16" t="inlineStr">
        <is>
          <t>21956</t>
        </is>
      </c>
      <c r="B703" s="17" t="inlineStr">
        <is>
          <t>ALUFIX</t>
        </is>
      </c>
      <c r="C703" s="16" t="inlineStr">
        <is>
          <t>4823071655384</t>
        </is>
      </c>
      <c r="D703" s="17" t="inlineStr">
        <is>
          <t>ALUFIX Zibil torbasi qara HDPE 64x71 60l 20ed</t>
        </is>
      </c>
      <c r="E703" s="18" t="n">
        <v>5.7</v>
      </c>
      <c r="F703" s="18" t="n">
        <v>36</v>
      </c>
      <c r="G703" s="18" t="n">
        <v>133</v>
      </c>
      <c r="H703" s="18" t="n"/>
      <c r="I703" s="18" t="n"/>
      <c r="J703" s="18" t="n"/>
      <c r="K703" s="19">
        <f>H703+I703+J703</f>
        <v/>
      </c>
      <c r="L703" s="19">
        <f>K703-G703</f>
        <v/>
      </c>
      <c r="M703" s="20">
        <f>L703*E703</f>
        <v/>
      </c>
      <c r="N703" s="20" t="n">
        <v>50</v>
      </c>
      <c r="O703" s="20" t="n"/>
      <c r="P703" s="20">
        <f>O703-N703</f>
        <v/>
      </c>
      <c r="Q703" s="20">
        <f>P703*E703</f>
        <v/>
      </c>
      <c r="R703" s="20" t="n"/>
    </row>
    <row r="704" ht="20" customHeight="1" s="1">
      <c r="A704" s="21" t="inlineStr">
        <is>
          <t>21957</t>
        </is>
      </c>
      <c r="B704" s="22" t="inlineStr">
        <is>
          <t>ALUFIX</t>
        </is>
      </c>
      <c r="C704" s="21" t="inlineStr">
        <is>
          <t>4823071655087</t>
        </is>
      </c>
      <c r="D704" s="22" t="inlineStr">
        <is>
          <t>ALUFIX Zibil torbasi ipli goy LDPE 64x70 60l 15ed</t>
        </is>
      </c>
      <c r="E704" s="23" t="n">
        <v>6.9</v>
      </c>
      <c r="F704" s="23" t="n">
        <v>20</v>
      </c>
      <c r="G704" s="23" t="n">
        <v>82</v>
      </c>
      <c r="H704" s="23" t="n"/>
      <c r="I704" s="23" t="n"/>
      <c r="J704" s="23" t="n"/>
      <c r="K704" s="19">
        <f>H704+I704+J704</f>
        <v/>
      </c>
      <c r="L704" s="19">
        <f>K704-G704</f>
        <v/>
      </c>
      <c r="M704" s="20">
        <f>L704*E704</f>
        <v/>
      </c>
      <c r="N704" s="20" t="n">
        <v>50</v>
      </c>
      <c r="O704" s="20" t="n"/>
      <c r="P704" s="20">
        <f>O704-N704</f>
        <v/>
      </c>
      <c r="Q704" s="20">
        <f>P704*E704</f>
        <v/>
      </c>
      <c r="R704" s="20" t="n"/>
    </row>
    <row r="705" ht="20" customHeight="1" s="1">
      <c r="A705" s="16" t="inlineStr">
        <is>
          <t>21958</t>
        </is>
      </c>
      <c r="B705" s="17" t="inlineStr">
        <is>
          <t>ALUFIX</t>
        </is>
      </c>
      <c r="C705" s="16" t="inlineStr">
        <is>
          <t>4823071655360</t>
        </is>
      </c>
      <c r="D705" s="17" t="inlineStr">
        <is>
          <t>ALUFIX Zibil torbasi ipli yasil HDPE 60x60 45l 20ed</t>
        </is>
      </c>
      <c r="E705" s="18" t="n">
        <v>4.8</v>
      </c>
      <c r="F705" s="18" t="n">
        <v>30</v>
      </c>
      <c r="G705" s="18" t="n">
        <v>113</v>
      </c>
      <c r="H705" s="18" t="n"/>
      <c r="I705" s="18" t="n"/>
      <c r="J705" s="18" t="n"/>
      <c r="K705" s="19">
        <f>H705+I705+J705</f>
        <v/>
      </c>
      <c r="L705" s="19">
        <f>K705-G705</f>
        <v/>
      </c>
      <c r="M705" s="20">
        <f>L705*E705</f>
        <v/>
      </c>
      <c r="N705" s="20" t="n">
        <v>50</v>
      </c>
      <c r="O705" s="20" t="n"/>
      <c r="P705" s="20">
        <f>O705-N705</f>
        <v/>
      </c>
      <c r="Q705" s="20">
        <f>P705*E705</f>
        <v/>
      </c>
      <c r="R705" s="20" t="n"/>
    </row>
    <row r="706" ht="20" customHeight="1" s="1">
      <c r="A706" s="21" t="inlineStr">
        <is>
          <t>21959</t>
        </is>
      </c>
      <c r="B706" s="22" t="inlineStr">
        <is>
          <t>ALUFIX</t>
        </is>
      </c>
      <c r="C706" s="21" t="inlineStr">
        <is>
          <t>4823071655728</t>
        </is>
      </c>
      <c r="D706" s="22" t="inlineStr">
        <is>
          <t>ALUFIX Zibil torbasi qulplu ag HDPE 64x71 60l 12ed</t>
        </is>
      </c>
      <c r="E706" s="23" t="n">
        <v>4.5</v>
      </c>
      <c r="F706" s="23" t="n">
        <v>30</v>
      </c>
      <c r="G706" s="23" t="n">
        <v>35</v>
      </c>
      <c r="H706" s="23" t="n"/>
      <c r="I706" s="23" t="n"/>
      <c r="J706" s="23" t="n"/>
      <c r="K706" s="19">
        <f>H706+I706+J706</f>
        <v/>
      </c>
      <c r="L706" s="19">
        <f>K706-G706</f>
        <v/>
      </c>
      <c r="M706" s="20">
        <f>L706*E706</f>
        <v/>
      </c>
      <c r="N706" s="20" t="n">
        <v>50</v>
      </c>
      <c r="O706" s="20" t="n"/>
      <c r="P706" s="20">
        <f>O706-N706</f>
        <v/>
      </c>
      <c r="Q706" s="20">
        <f>P706*E706</f>
        <v/>
      </c>
      <c r="R706" s="20" t="n"/>
    </row>
    <row r="707" ht="20" customHeight="1" s="1">
      <c r="A707" s="16" t="inlineStr">
        <is>
          <t>22093</t>
        </is>
      </c>
      <c r="B707" s="17" t="inlineStr">
        <is>
          <t>ALUFIX</t>
        </is>
      </c>
      <c r="C707" s="16" t="inlineStr">
        <is>
          <t>4823071655209</t>
        </is>
      </c>
      <c r="D707" s="17" t="inlineStr">
        <is>
          <t>ALUFIX Zibil torbasi ipli yasil HDPE 64x70 60l 20ed</t>
        </is>
      </c>
      <c r="E707" s="18" t="n">
        <v>5.6</v>
      </c>
      <c r="F707" s="18" t="n">
        <v>26</v>
      </c>
      <c r="G707" s="18" t="n">
        <v>47</v>
      </c>
      <c r="H707" s="18" t="n"/>
      <c r="I707" s="18" t="n"/>
      <c r="J707" s="18" t="n"/>
      <c r="K707" s="19">
        <f>H707+I707+J707</f>
        <v/>
      </c>
      <c r="L707" s="19">
        <f>K707-G707</f>
        <v/>
      </c>
      <c r="M707" s="20">
        <f>L707*E707</f>
        <v/>
      </c>
      <c r="N707" s="20" t="n">
        <v>50</v>
      </c>
      <c r="O707" s="20" t="n"/>
      <c r="P707" s="20">
        <f>O707-N707</f>
        <v/>
      </c>
      <c r="Q707" s="20">
        <f>P707*E707</f>
        <v/>
      </c>
      <c r="R707" s="20" t="n"/>
    </row>
    <row r="708" ht="20" customHeight="1" s="1">
      <c r="A708" s="21" t="inlineStr">
        <is>
          <t>22094</t>
        </is>
      </c>
      <c r="B708" s="22" t="inlineStr">
        <is>
          <t>ALUFIX</t>
        </is>
      </c>
      <c r="C708" s="21" t="inlineStr">
        <is>
          <t>4823071657890</t>
        </is>
      </c>
      <c r="D708" s="22" t="inlineStr">
        <is>
          <t>ALUFIX Zibil torbasi qulplu qrafit LDPE 53x60 35l 15ed</t>
        </is>
      </c>
      <c r="E708" s="23" t="n">
        <v>5.3</v>
      </c>
      <c r="F708" s="23" t="n">
        <v>12</v>
      </c>
      <c r="G708" s="23" t="n">
        <v>31</v>
      </c>
      <c r="H708" s="23" t="n"/>
      <c r="I708" s="23" t="n"/>
      <c r="J708" s="23" t="n"/>
      <c r="K708" s="19">
        <f>H708+I708+J708</f>
        <v/>
      </c>
      <c r="L708" s="19">
        <f>K708-G708</f>
        <v/>
      </c>
      <c r="M708" s="20">
        <f>L708*E708</f>
        <v/>
      </c>
      <c r="N708" s="20" t="n">
        <v>50</v>
      </c>
      <c r="O708" s="20" t="n"/>
      <c r="P708" s="20">
        <f>O708-N708</f>
        <v/>
      </c>
      <c r="Q708" s="20">
        <f>P708*E708</f>
        <v/>
      </c>
      <c r="R708" s="20" t="n"/>
    </row>
    <row r="709" ht="20" customHeight="1" s="1">
      <c r="A709" s="16" t="inlineStr">
        <is>
          <t>22095</t>
        </is>
      </c>
      <c r="B709" s="17" t="inlineStr">
        <is>
          <t>ALUFIX</t>
        </is>
      </c>
      <c r="C709" s="16" t="inlineStr">
        <is>
          <t>4823071657913</t>
        </is>
      </c>
      <c r="D709" s="17" t="inlineStr">
        <is>
          <t>ALUFIX Zibil torbasi qulplu qrafit LDPE 64x69 60l 10ed</t>
        </is>
      </c>
      <c r="E709" s="18" t="n">
        <v>5.4</v>
      </c>
      <c r="F709" s="18" t="n">
        <v>12</v>
      </c>
      <c r="G709" s="18" t="n">
        <v>31</v>
      </c>
      <c r="H709" s="18" t="n"/>
      <c r="I709" s="18" t="n"/>
      <c r="J709" s="18" t="n"/>
      <c r="K709" s="19">
        <f>H709+I709+J709</f>
        <v/>
      </c>
      <c r="L709" s="19">
        <f>K709-G709</f>
        <v/>
      </c>
      <c r="M709" s="20">
        <f>L709*E709</f>
        <v/>
      </c>
      <c r="N709" s="20" t="n">
        <v>50</v>
      </c>
      <c r="O709" s="20" t="n"/>
      <c r="P709" s="20">
        <f>O709-N709</f>
        <v/>
      </c>
      <c r="Q709" s="20">
        <f>P709*E709</f>
        <v/>
      </c>
      <c r="R709" s="20" t="n"/>
    </row>
    <row r="710" ht="20" customHeight="1" s="1">
      <c r="A710" s="21" t="inlineStr">
        <is>
          <t>21726</t>
        </is>
      </c>
      <c r="B710" s="22" t="inlineStr">
        <is>
          <t>PRO SERVICE</t>
        </is>
      </c>
      <c r="C710" s="21" t="inlineStr">
        <is>
          <t>4823071624120</t>
        </is>
      </c>
      <c r="D710" s="22" t="inlineStr">
        <is>
          <t>Pro Service Optimum Zibil torbasi qara 90x110 160l 10ed</t>
        </is>
      </c>
      <c r="E710" s="23" t="n">
        <v>4.45</v>
      </c>
      <c r="F710" s="23" t="n">
        <v>20</v>
      </c>
      <c r="G710" s="23" t="n">
        <v>0</v>
      </c>
      <c r="H710" s="23" t="n"/>
      <c r="I710" s="23" t="n"/>
      <c r="J710" s="23" t="n"/>
      <c r="K710" s="19">
        <f>H710+I710+J710</f>
        <v/>
      </c>
      <c r="L710" s="19">
        <f>K710-G710</f>
        <v/>
      </c>
      <c r="M710" s="20">
        <f>L710*E710</f>
        <v/>
      </c>
      <c r="N710" s="20" t="n">
        <v>50</v>
      </c>
      <c r="O710" s="20" t="n"/>
      <c r="P710" s="20">
        <f>O710-N710</f>
        <v/>
      </c>
      <c r="Q710" s="20">
        <f>P710*E710</f>
        <v/>
      </c>
      <c r="R710" s="20" t="n"/>
    </row>
    <row r="711" ht="20" customHeight="1" s="1">
      <c r="A711" s="16" t="inlineStr">
        <is>
          <t>21716</t>
        </is>
      </c>
      <c r="B711" s="17" t="inlineStr">
        <is>
          <t>PRO SERVICE</t>
        </is>
      </c>
      <c r="C711" s="16" t="inlineStr">
        <is>
          <t>4823071660180</t>
        </is>
      </c>
      <c r="D711" s="17" t="inlineStr">
        <is>
          <t>Pro Service Optimum Zibil torbasi qara 70x105 120l 20ed</t>
        </is>
      </c>
      <c r="E711" s="18" t="n">
        <v>6.35</v>
      </c>
      <c r="F711" s="18" t="n">
        <v>13</v>
      </c>
      <c r="G711" s="18" t="n">
        <v>23</v>
      </c>
      <c r="H711" s="18" t="n"/>
      <c r="I711" s="18" t="n"/>
      <c r="J711" s="18" t="n"/>
      <c r="K711" s="19">
        <f>H711+I711+J711</f>
        <v/>
      </c>
      <c r="L711" s="19">
        <f>K711-G711</f>
        <v/>
      </c>
      <c r="M711" s="20">
        <f>L711*E711</f>
        <v/>
      </c>
      <c r="N711" s="20" t="n">
        <v>50</v>
      </c>
      <c r="O711" s="20" t="n"/>
      <c r="P711" s="20">
        <f>O711-N711</f>
        <v/>
      </c>
      <c r="Q711" s="20">
        <f>P711*E711</f>
        <v/>
      </c>
      <c r="R711" s="20" t="n"/>
    </row>
    <row r="712" ht="20" customHeight="1" s="1">
      <c r="A712" s="21" t="inlineStr">
        <is>
          <t>21717</t>
        </is>
      </c>
      <c r="B712" s="22" t="inlineStr">
        <is>
          <t>PRO SERVICE</t>
        </is>
      </c>
      <c r="C712" s="21" t="inlineStr">
        <is>
          <t>4823071660203</t>
        </is>
      </c>
      <c r="D712" s="22" t="inlineStr">
        <is>
          <t>Pro Service Optimum Zibil torbasi qara 90x110 160l 20ed</t>
        </is>
      </c>
      <c r="E712" s="23" t="n">
        <v>7.5</v>
      </c>
      <c r="F712" s="23" t="n">
        <v>5</v>
      </c>
      <c r="G712" s="23" t="n">
        <v>10</v>
      </c>
      <c r="H712" s="23" t="n"/>
      <c r="I712" s="23" t="n"/>
      <c r="J712" s="23" t="n"/>
      <c r="K712" s="19" t="n"/>
      <c r="L712" s="19" t="n"/>
      <c r="M712" s="20" t="n"/>
      <c r="N712" s="20" t="n">
        <v>50</v>
      </c>
      <c r="O712" s="20" t="n"/>
      <c r="P712" s="20">
        <f>O712-N712</f>
        <v/>
      </c>
      <c r="Q712" s="20">
        <f>P712*E712</f>
        <v/>
      </c>
      <c r="R712" s="20" t="n"/>
    </row>
    <row r="713" ht="20" customHeight="1" s="1">
      <c r="A713" s="16" t="inlineStr">
        <is>
          <t>21718</t>
        </is>
      </c>
      <c r="B713" s="17" t="inlineStr">
        <is>
          <t>PRO SERVICE</t>
        </is>
      </c>
      <c r="C713" s="16" t="inlineStr">
        <is>
          <t>4820048488037</t>
        </is>
      </c>
      <c r="D713" s="17" t="inlineStr">
        <is>
          <t>Pro Service Optimum Zibil torbasi qara 90x125 240l 5ed</t>
        </is>
      </c>
      <c r="E713" s="18" t="n">
        <v>3.65</v>
      </c>
      <c r="F713" s="18" t="n">
        <v>22</v>
      </c>
      <c r="G713" s="18" t="n">
        <v>13</v>
      </c>
      <c r="H713" s="18" t="n"/>
      <c r="I713" s="18" t="n"/>
      <c r="J713" s="18" t="n"/>
      <c r="K713" s="19">
        <f>H713+I713+J713</f>
        <v/>
      </c>
      <c r="L713" s="19">
        <f>K713-G713</f>
        <v/>
      </c>
      <c r="M713" s="20">
        <f>L713*E713</f>
        <v/>
      </c>
      <c r="N713" s="20" t="n">
        <v>50</v>
      </c>
      <c r="O713" s="20" t="n"/>
      <c r="P713" s="20">
        <f>O713-N713</f>
        <v/>
      </c>
      <c r="Q713" s="20">
        <f>P713*E713</f>
        <v/>
      </c>
      <c r="R713" s="20" t="n"/>
    </row>
    <row r="714" ht="20" customHeight="1" s="1">
      <c r="A714" s="21" t="inlineStr">
        <is>
          <t>21948</t>
        </is>
      </c>
      <c r="B714" s="22" t="inlineStr">
        <is>
          <t>PRO SERVICE</t>
        </is>
      </c>
      <c r="C714" s="21" t="inlineStr">
        <is>
          <t>4823071656251</t>
        </is>
      </c>
      <c r="D714" s="22" t="inlineStr">
        <is>
          <t>Pro Service Optimum Zibil torbasi polietilen qara 60x70sm 60l 10ed</t>
        </is>
      </c>
      <c r="E714" s="23" t="n">
        <v>1.4</v>
      </c>
      <c r="F714" s="23" t="n">
        <v>60</v>
      </c>
      <c r="G714" s="23" t="n">
        <v>115</v>
      </c>
      <c r="H714" s="23" t="n"/>
      <c r="I714" s="23" t="n"/>
      <c r="J714" s="23" t="n"/>
      <c r="K714" s="19">
        <f>H714+I714+J714</f>
        <v/>
      </c>
      <c r="L714" s="19">
        <f>K714-G714</f>
        <v/>
      </c>
      <c r="M714" s="20">
        <f>L714*E714</f>
        <v/>
      </c>
      <c r="N714" s="20" t="n">
        <v>50</v>
      </c>
      <c r="O714" s="20" t="n"/>
      <c r="P714" s="20">
        <f>O714-N714</f>
        <v/>
      </c>
      <c r="Q714" s="20">
        <f>P714*E714</f>
        <v/>
      </c>
      <c r="R714" s="20" t="n"/>
    </row>
    <row r="715" ht="20" customHeight="1" s="1">
      <c r="A715" s="16" t="inlineStr">
        <is>
          <t>21723</t>
        </is>
      </c>
      <c r="B715" s="17" t="inlineStr">
        <is>
          <t>PRO SERVICE</t>
        </is>
      </c>
      <c r="C715" s="16" t="inlineStr">
        <is>
          <t>4823071624205</t>
        </is>
      </c>
      <c r="D715" s="17" t="inlineStr">
        <is>
          <t>Pro Service Optimum Zibil torbasi qara 70x105 120l 10ed</t>
        </is>
      </c>
      <c r="E715" s="18" t="n">
        <v>3.35</v>
      </c>
      <c r="F715" s="18" t="n">
        <v>25</v>
      </c>
      <c r="G715" s="18" t="n">
        <v>45</v>
      </c>
      <c r="H715" s="18" t="n"/>
      <c r="I715" s="18" t="n"/>
      <c r="J715" s="18" t="n"/>
      <c r="K715" s="19">
        <f>H715+I715+J715</f>
        <v/>
      </c>
      <c r="L715" s="19">
        <f>K715-G715</f>
        <v/>
      </c>
      <c r="M715" s="20">
        <f>L715*E715</f>
        <v/>
      </c>
      <c r="N715" s="20" t="n">
        <v>50</v>
      </c>
      <c r="O715" s="20" t="n"/>
      <c r="P715" s="20">
        <f>O715-N715</f>
        <v/>
      </c>
      <c r="Q715" s="20">
        <f>P715*E715</f>
        <v/>
      </c>
      <c r="R715" s="20" t="n"/>
    </row>
    <row r="716" ht="20" customHeight="1" s="1">
      <c r="A716" s="21" t="inlineStr">
        <is>
          <t>21720</t>
        </is>
      </c>
      <c r="B716" s="22" t="inlineStr">
        <is>
          <t>PRO SERVICE</t>
        </is>
      </c>
      <c r="C716" s="21" t="inlineStr">
        <is>
          <t>4823071624137</t>
        </is>
      </c>
      <c r="D716" s="22" t="inlineStr">
        <is>
          <t>Pro Service Optimum rezin elcek universal sari 1cut (M)</t>
        </is>
      </c>
      <c r="E716" s="23" t="n">
        <v>2.28</v>
      </c>
      <c r="F716" s="23" t="n">
        <v>100</v>
      </c>
      <c r="G716" s="23" t="n">
        <v>198</v>
      </c>
      <c r="H716" s="23" t="n"/>
      <c r="I716" s="23" t="n"/>
      <c r="J716" s="23" t="n"/>
      <c r="K716" s="19">
        <f>H716+I716+J716</f>
        <v/>
      </c>
      <c r="L716" s="19">
        <f>K716-G716</f>
        <v/>
      </c>
      <c r="M716" s="20">
        <f>L716*E716</f>
        <v/>
      </c>
      <c r="N716" s="20" t="n">
        <v>50</v>
      </c>
      <c r="O716" s="20" t="n"/>
      <c r="P716" s="20">
        <f>O716-N716</f>
        <v/>
      </c>
      <c r="Q716" s="20">
        <f>P716*E716</f>
        <v/>
      </c>
      <c r="R716" s="20" t="n"/>
    </row>
    <row r="717" ht="20" customHeight="1" s="1">
      <c r="A717" s="16" t="inlineStr">
        <is>
          <t>21719</t>
        </is>
      </c>
      <c r="B717" s="17" t="inlineStr">
        <is>
          <t>PRO SERVICE</t>
        </is>
      </c>
      <c r="C717" s="16" t="inlineStr">
        <is>
          <t>4823071624144</t>
        </is>
      </c>
      <c r="D717" s="17" t="inlineStr">
        <is>
          <t>Pro Service Optimum rezin elcek universal sari 1cut (L)</t>
        </is>
      </c>
      <c r="E717" s="18" t="n">
        <v>2.28</v>
      </c>
      <c r="F717" s="18" t="n">
        <v>100</v>
      </c>
      <c r="G717" s="18" t="n">
        <v>229</v>
      </c>
      <c r="H717" s="18" t="n"/>
      <c r="I717" s="18" t="n"/>
      <c r="J717" s="18" t="n"/>
      <c r="K717" s="19">
        <f>H717+I717+J717</f>
        <v/>
      </c>
      <c r="L717" s="19">
        <f>K717-G717</f>
        <v/>
      </c>
      <c r="M717" s="20">
        <f>L717*E717</f>
        <v/>
      </c>
      <c r="N717" s="20" t="n">
        <v>50</v>
      </c>
      <c r="O717" s="20" t="n"/>
      <c r="P717" s="20">
        <f>O717-N717</f>
        <v/>
      </c>
      <c r="Q717" s="20">
        <f>P717*E717</f>
        <v/>
      </c>
      <c r="R717" s="20" t="n"/>
    </row>
    <row r="718" ht="20" customHeight="1" s="1">
      <c r="A718" s="21" t="inlineStr">
        <is>
          <t>21714</t>
        </is>
      </c>
      <c r="B718" s="22" t="inlineStr">
        <is>
          <t>PRO SERVICE</t>
        </is>
      </c>
      <c r="C718" s="21" t="inlineStr">
        <is>
          <t>4823071623277</t>
        </is>
      </c>
      <c r="D718" s="22" t="inlineStr">
        <is>
          <t>Pro Service Optimum metbex sungeri 90x60x30mm 5ed</t>
        </is>
      </c>
      <c r="E718" s="23" t="n">
        <v>1.28</v>
      </c>
      <c r="F718" s="23" t="n">
        <v>98</v>
      </c>
      <c r="G718" s="23" t="n">
        <v>187</v>
      </c>
      <c r="H718" s="23" t="n"/>
      <c r="I718" s="23" t="n"/>
      <c r="J718" s="23" t="n"/>
      <c r="K718" s="19">
        <f>H718+I718+J718</f>
        <v/>
      </c>
      <c r="L718" s="19">
        <f>K718-G718</f>
        <v/>
      </c>
      <c r="M718" s="20">
        <f>L718*E718</f>
        <v/>
      </c>
      <c r="N718" s="20" t="n">
        <v>50</v>
      </c>
      <c r="O718" s="20" t="n"/>
      <c r="P718" s="20">
        <f>O718-N718</f>
        <v/>
      </c>
      <c r="Q718" s="20">
        <f>P718*E718</f>
        <v/>
      </c>
      <c r="R718" s="20" t="n"/>
    </row>
    <row r="719" ht="20" customHeight="1" s="1">
      <c r="A719" s="16" t="inlineStr">
        <is>
          <t>21947</t>
        </is>
      </c>
      <c r="B719" s="17" t="inlineStr">
        <is>
          <t>PRO SERVICE</t>
        </is>
      </c>
      <c r="C719" s="16" t="inlineStr">
        <is>
          <t>4823071656084</t>
        </is>
      </c>
      <c r="D719" s="17" t="inlineStr">
        <is>
          <t>Pro Service Optimum metbex sungeri mesameli 90x60x30mm 5ed</t>
        </is>
      </c>
      <c r="E719" s="18" t="n">
        <v>1.7</v>
      </c>
      <c r="F719" s="18" t="n">
        <v>40</v>
      </c>
      <c r="G719" s="18" t="n">
        <v>111</v>
      </c>
      <c r="H719" s="18" t="n"/>
      <c r="I719" s="18" t="n"/>
      <c r="J719" s="18" t="n"/>
      <c r="K719" s="19">
        <f>H719+I719+J719</f>
        <v/>
      </c>
      <c r="L719" s="19">
        <f>K719-G719</f>
        <v/>
      </c>
      <c r="M719" s="20">
        <f>L719*E719</f>
        <v/>
      </c>
      <c r="N719" s="20" t="n">
        <v>50</v>
      </c>
      <c r="O719" s="20" t="n"/>
      <c r="P719" s="20">
        <f>O719-N719</f>
        <v/>
      </c>
      <c r="Q719" s="20">
        <f>P719*E719</f>
        <v/>
      </c>
      <c r="R719" s="20" t="n"/>
    </row>
    <row r="720" ht="20" customHeight="1" s="1">
      <c r="A720" s="21" t="inlineStr">
        <is>
          <t>21715</t>
        </is>
      </c>
      <c r="B720" s="22" t="inlineStr">
        <is>
          <t>PRO SERVICE</t>
        </is>
      </c>
      <c r="C720" s="21" t="inlineStr">
        <is>
          <t>4823071656107</t>
        </is>
      </c>
      <c r="D720" s="22" t="inlineStr">
        <is>
          <t>Pro Service Optimum metbex sungeri 98x65x30mm 10ed</t>
        </is>
      </c>
      <c r="E720" s="23" t="n">
        <v>2.8</v>
      </c>
      <c r="F720" s="23" t="n">
        <v>52</v>
      </c>
      <c r="G720" s="23" t="n">
        <v>96</v>
      </c>
      <c r="H720" s="23" t="n"/>
      <c r="I720" s="23" t="n"/>
      <c r="J720" s="23" t="n"/>
      <c r="K720" s="19">
        <f>H720+I720+J720</f>
        <v/>
      </c>
      <c r="L720" s="19">
        <f>K720-G720</f>
        <v/>
      </c>
      <c r="M720" s="20">
        <f>L720*E720</f>
        <v/>
      </c>
      <c r="N720" s="20" t="n">
        <v>50</v>
      </c>
      <c r="O720" s="20" t="n"/>
      <c r="P720" s="20">
        <f>O720-N720</f>
        <v/>
      </c>
      <c r="Q720" s="20">
        <f>P720*E720</f>
        <v/>
      </c>
      <c r="R720" s="20" t="n"/>
    </row>
    <row r="721" ht="20" customHeight="1" s="1">
      <c r="A721" s="16" t="inlineStr">
        <is>
          <t>22000</t>
        </is>
      </c>
      <c r="B721" s="17" t="inlineStr">
        <is>
          <t>VORTEX</t>
        </is>
      </c>
      <c r="C721" s="16" t="n"/>
      <c r="D721" s="17" t="inlineStr">
        <is>
          <t>Vortex Zibil torbasi ipli ag 60x70sm 60l 10ed (Hediyyeli)</t>
        </is>
      </c>
      <c r="E721" s="18" t="n">
        <v>3.8</v>
      </c>
      <c r="F721" s="18" t="n">
        <v>1</v>
      </c>
      <c r="G721" s="18" t="n">
        <v>3</v>
      </c>
      <c r="H721" s="18" t="n"/>
      <c r="I721" s="18" t="n"/>
      <c r="J721" s="18" t="n"/>
      <c r="K721" s="19" t="n"/>
      <c r="L721" s="19" t="n"/>
      <c r="M721" s="20" t="n"/>
      <c r="N721" s="20" t="n">
        <v>50</v>
      </c>
      <c r="O721" s="20" t="n"/>
      <c r="P721" s="20" t="n"/>
      <c r="Q721" s="20" t="n"/>
      <c r="R721" s="20" t="n"/>
    </row>
    <row r="722" ht="20" customHeight="1" s="1">
      <c r="A722" s="21" t="inlineStr">
        <is>
          <t>19825</t>
        </is>
      </c>
      <c r="B722" s="22" t="inlineStr">
        <is>
          <t>Morfose</t>
        </is>
      </c>
      <c r="C722" s="21" t="inlineStr">
        <is>
          <t>8680678823549</t>
        </is>
      </c>
      <c r="D722" s="22" t="inlineStr">
        <is>
          <t>Morfose Sac Boyasi 100ml 1 Siyah</t>
        </is>
      </c>
      <c r="E722" s="23" t="n">
        <v>6</v>
      </c>
      <c r="F722" s="23" t="n">
        <v>60</v>
      </c>
      <c r="G722" s="23" t="n">
        <v>24</v>
      </c>
      <c r="H722" s="23" t="n"/>
      <c r="I722" s="23" t="n"/>
      <c r="J722" s="23" t="n"/>
      <c r="K722" s="19" t="n"/>
      <c r="L722" s="19" t="n"/>
      <c r="M722" s="20" t="n"/>
      <c r="N722" s="20" t="n">
        <v>50</v>
      </c>
      <c r="O722" s="20" t="n"/>
      <c r="P722" s="20">
        <f>O722-N722</f>
        <v/>
      </c>
      <c r="Q722" s="20">
        <f>P722*E722</f>
        <v/>
      </c>
      <c r="R722" s="20" t="n"/>
    </row>
    <row r="723" ht="20" customHeight="1" s="1">
      <c r="A723" s="16" t="inlineStr">
        <is>
          <t>19826</t>
        </is>
      </c>
      <c r="B723" s="17" t="inlineStr">
        <is>
          <t>Morfose</t>
        </is>
      </c>
      <c r="C723" s="16" t="inlineStr">
        <is>
          <t>8680678823532</t>
        </is>
      </c>
      <c r="D723" s="17" t="inlineStr">
        <is>
          <t>Morfose Sac Boyasi 100ml 1.1 Mayi Siyah</t>
        </is>
      </c>
      <c r="E723" s="18" t="n">
        <v>6</v>
      </c>
      <c r="F723" s="18" t="n">
        <v>60</v>
      </c>
      <c r="G723" s="18" t="n">
        <v>12</v>
      </c>
      <c r="H723" s="18" t="n"/>
      <c r="I723" s="18" t="n"/>
      <c r="J723" s="18" t="n"/>
      <c r="K723" s="19">
        <f>H723+I723+J723</f>
        <v/>
      </c>
      <c r="L723" s="19">
        <f>K723-G723</f>
        <v/>
      </c>
      <c r="M723" s="20">
        <f>L723*E723</f>
        <v/>
      </c>
      <c r="N723" s="20" t="n">
        <v>50</v>
      </c>
      <c r="O723" s="20" t="n"/>
      <c r="P723" s="20">
        <f>O723-N723</f>
        <v/>
      </c>
      <c r="Q723" s="20">
        <f>P723*E723</f>
        <v/>
      </c>
      <c r="R723" s="20" t="n"/>
    </row>
    <row r="724" ht="20" customHeight="1" s="1">
      <c r="A724" s="21" t="inlineStr">
        <is>
          <t>19827</t>
        </is>
      </c>
      <c r="B724" s="22" t="inlineStr">
        <is>
          <t>Morfose</t>
        </is>
      </c>
      <c r="C724" s="21" t="inlineStr">
        <is>
          <t>8680678823556</t>
        </is>
      </c>
      <c r="D724" s="22" t="inlineStr">
        <is>
          <t>Morfose Sac Boyasi 100ml 3 Koyu Kahve</t>
        </is>
      </c>
      <c r="E724" s="23" t="n">
        <v>6</v>
      </c>
      <c r="F724" s="23" t="n">
        <v>60</v>
      </c>
      <c r="G724" s="23" t="n">
        <v>54</v>
      </c>
      <c r="H724" s="23" t="n"/>
      <c r="I724" s="23" t="n"/>
      <c r="J724" s="23" t="n"/>
      <c r="K724" s="19">
        <f>H724+I724+J724</f>
        <v/>
      </c>
      <c r="L724" s="19">
        <f>K724-G724</f>
        <v/>
      </c>
      <c r="M724" s="20">
        <f>L724*E724</f>
        <v/>
      </c>
      <c r="N724" s="20" t="n">
        <v>50</v>
      </c>
      <c r="O724" s="20" t="n"/>
      <c r="P724" s="20">
        <f>O724-N724</f>
        <v/>
      </c>
      <c r="Q724" s="20">
        <f>P724*E724</f>
        <v/>
      </c>
      <c r="R724" s="20" t="n"/>
    </row>
    <row r="725" ht="20" customHeight="1" s="1">
      <c r="A725" s="16" t="inlineStr">
        <is>
          <t>19828</t>
        </is>
      </c>
      <c r="B725" s="17" t="inlineStr">
        <is>
          <t>Morfose</t>
        </is>
      </c>
      <c r="C725" s="16" t="inlineStr">
        <is>
          <t>8680678823563</t>
        </is>
      </c>
      <c r="D725" s="17" t="inlineStr">
        <is>
          <t>Morfose Sac Boyasi 100ml 4 Kahve</t>
        </is>
      </c>
      <c r="E725" s="18" t="n">
        <v>6</v>
      </c>
      <c r="F725" s="18" t="n">
        <v>60</v>
      </c>
      <c r="G725" s="18" t="n">
        <v>11</v>
      </c>
      <c r="H725" s="18" t="n"/>
      <c r="I725" s="18" t="n"/>
      <c r="J725" s="18" t="n"/>
      <c r="K725" s="19" t="n"/>
      <c r="L725" s="19" t="n"/>
      <c r="M725" s="20" t="n"/>
      <c r="N725" s="20" t="n">
        <v>50</v>
      </c>
      <c r="O725" s="20" t="n"/>
      <c r="P725" s="20">
        <f>O725-N725</f>
        <v/>
      </c>
      <c r="Q725" s="20">
        <f>P725*E725</f>
        <v/>
      </c>
      <c r="R725" s="20" t="n"/>
    </row>
    <row r="726" ht="20" customHeight="1" s="1">
      <c r="A726" s="21" t="inlineStr">
        <is>
          <t>19829</t>
        </is>
      </c>
      <c r="B726" s="22" t="inlineStr">
        <is>
          <t>Morfose</t>
        </is>
      </c>
      <c r="C726" s="21" t="inlineStr">
        <is>
          <t>8680678823570</t>
        </is>
      </c>
      <c r="D726" s="22" t="inlineStr">
        <is>
          <t>Morfose Sac Boyasi 100ml 5 Acik Kahve</t>
        </is>
      </c>
      <c r="E726" s="23" t="n">
        <v>6</v>
      </c>
      <c r="F726" s="23" t="n">
        <v>60</v>
      </c>
      <c r="G726" s="23" t="n">
        <v>20</v>
      </c>
      <c r="H726" s="23" t="n"/>
      <c r="I726" s="23" t="n"/>
      <c r="J726" s="23" t="n"/>
      <c r="K726" s="19">
        <f>H726+I726+J726</f>
        <v/>
      </c>
      <c r="L726" s="19">
        <f>K726-G726</f>
        <v/>
      </c>
      <c r="M726" s="20">
        <f>L726*E726</f>
        <v/>
      </c>
      <c r="N726" s="20" t="n">
        <v>50</v>
      </c>
      <c r="O726" s="20" t="n"/>
      <c r="P726" s="20">
        <f>O726-N726</f>
        <v/>
      </c>
      <c r="Q726" s="20">
        <f>P726*E726</f>
        <v/>
      </c>
      <c r="R726" s="20" t="n"/>
    </row>
    <row r="727" ht="20" customHeight="1" s="1">
      <c r="A727" s="16" t="inlineStr">
        <is>
          <t>19830</t>
        </is>
      </c>
      <c r="B727" s="17" t="inlineStr">
        <is>
          <t>Morfose</t>
        </is>
      </c>
      <c r="C727" s="16" t="inlineStr">
        <is>
          <t>8681701002627</t>
        </is>
      </c>
      <c r="D727" s="17" t="inlineStr">
        <is>
          <t>Morfose Sac Boyasi 100ml 5.11 Yogun Acik Kullu Kahve</t>
        </is>
      </c>
      <c r="E727" s="18" t="n">
        <v>6</v>
      </c>
      <c r="F727" s="18" t="n">
        <v>60</v>
      </c>
      <c r="G727" s="18" t="n">
        <v>0</v>
      </c>
      <c r="H727" s="18" t="n"/>
      <c r="I727" s="18" t="n"/>
      <c r="J727" s="18" t="n"/>
      <c r="K727" s="19">
        <f>H727+I727+J727</f>
        <v/>
      </c>
      <c r="L727" s="19">
        <f>K727-G727</f>
        <v/>
      </c>
      <c r="M727" s="20">
        <f>L727*E727</f>
        <v/>
      </c>
      <c r="N727" s="20" t="n">
        <v>50</v>
      </c>
      <c r="O727" s="20" t="n"/>
      <c r="P727" s="20">
        <f>O727-N727</f>
        <v/>
      </c>
      <c r="Q727" s="20">
        <f>P727*E727</f>
        <v/>
      </c>
      <c r="R727" s="20" t="n"/>
    </row>
    <row r="728" ht="20" customHeight="1" s="1">
      <c r="A728" s="21" t="inlineStr">
        <is>
          <t>19831</t>
        </is>
      </c>
      <c r="B728" s="22" t="inlineStr">
        <is>
          <t>Morfose</t>
        </is>
      </c>
      <c r="C728" s="21" t="inlineStr">
        <is>
          <t>8680678824010</t>
        </is>
      </c>
      <c r="D728" s="22" t="inlineStr">
        <is>
          <t>Morfose Sac Boyasi 100ml 5.22 Patlican Moru</t>
        </is>
      </c>
      <c r="E728" s="23" t="n">
        <v>6</v>
      </c>
      <c r="F728" s="23" t="n">
        <v>60</v>
      </c>
      <c r="G728" s="23" t="n">
        <v>46</v>
      </c>
      <c r="H728" s="23" t="n"/>
      <c r="I728" s="23" t="n"/>
      <c r="J728" s="23" t="n"/>
      <c r="K728" s="19">
        <f>H728+I728+J728</f>
        <v/>
      </c>
      <c r="L728" s="19">
        <f>K728-G728</f>
        <v/>
      </c>
      <c r="M728" s="20">
        <f>L728*E728</f>
        <v/>
      </c>
      <c r="N728" s="20" t="n">
        <v>50</v>
      </c>
      <c r="O728" s="20" t="n"/>
      <c r="P728" s="20">
        <f>O728-N728</f>
        <v/>
      </c>
      <c r="Q728" s="20">
        <f>P728*E728</f>
        <v/>
      </c>
      <c r="R728" s="20" t="n"/>
    </row>
    <row r="729" ht="20" customHeight="1" s="1">
      <c r="A729" s="16" t="inlineStr">
        <is>
          <t>19832</t>
        </is>
      </c>
      <c r="B729" s="17" t="inlineStr">
        <is>
          <t>Morfose</t>
        </is>
      </c>
      <c r="C729" s="16" t="inlineStr">
        <is>
          <t>8680678823822</t>
        </is>
      </c>
      <c r="D729" s="17" t="inlineStr">
        <is>
          <t>Morfose Sac Boyasi 100ml 5.3 Acik Dore Kahve</t>
        </is>
      </c>
      <c r="E729" s="18" t="n">
        <v>6</v>
      </c>
      <c r="F729" s="18" t="n">
        <v>60</v>
      </c>
      <c r="G729" s="18" t="n">
        <v>32</v>
      </c>
      <c r="H729" s="18" t="n"/>
      <c r="I729" s="18" t="n"/>
      <c r="J729" s="18" t="n"/>
      <c r="K729" s="19">
        <f>H729+I729+J729</f>
        <v/>
      </c>
      <c r="L729" s="19">
        <f>K729-G729</f>
        <v/>
      </c>
      <c r="M729" s="20">
        <f>L729*E729</f>
        <v/>
      </c>
      <c r="N729" s="20" t="n">
        <v>50</v>
      </c>
      <c r="O729" s="20" t="n"/>
      <c r="P729" s="20">
        <f>O729-N729</f>
        <v/>
      </c>
      <c r="Q729" s="20">
        <f>P729*E729</f>
        <v/>
      </c>
      <c r="R729" s="20" t="n"/>
    </row>
    <row r="730" ht="20" customHeight="1" s="1">
      <c r="A730" s="21" t="inlineStr">
        <is>
          <t>19833</t>
        </is>
      </c>
      <c r="B730" s="22" t="inlineStr">
        <is>
          <t>Morfose</t>
        </is>
      </c>
      <c r="C730" s="21" t="inlineStr">
        <is>
          <t>8680678823891</t>
        </is>
      </c>
      <c r="D730" s="22" t="inlineStr">
        <is>
          <t>Morfose Sac Boyasi 100ml 5.34 Koyu Bakir Kahve</t>
        </is>
      </c>
      <c r="E730" s="23" t="n">
        <v>6</v>
      </c>
      <c r="F730" s="23" t="n">
        <v>60</v>
      </c>
      <c r="G730" s="23" t="n">
        <v>27</v>
      </c>
      <c r="H730" s="23" t="n"/>
      <c r="I730" s="23" t="n"/>
      <c r="J730" s="23" t="n"/>
      <c r="K730" s="19">
        <f>H730+I730+J730</f>
        <v/>
      </c>
      <c r="L730" s="19">
        <f>K730-G730</f>
        <v/>
      </c>
      <c r="M730" s="20">
        <f>L730*E730</f>
        <v/>
      </c>
      <c r="N730" s="20" t="n">
        <v>50</v>
      </c>
      <c r="O730" s="20" t="n"/>
      <c r="P730" s="20">
        <f>O730-N730</f>
        <v/>
      </c>
      <c r="Q730" s="20">
        <f>P730*E730</f>
        <v/>
      </c>
      <c r="R730" s="20" t="n"/>
    </row>
    <row r="731" ht="20" customHeight="1" s="1">
      <c r="A731" s="16" t="inlineStr">
        <is>
          <t>19834</t>
        </is>
      </c>
      <c r="B731" s="17" t="inlineStr">
        <is>
          <t>Morfose</t>
        </is>
      </c>
      <c r="C731" s="16" t="inlineStr">
        <is>
          <t>8680678823648</t>
        </is>
      </c>
      <c r="D731" s="17" t="inlineStr">
        <is>
          <t>Morfose Sac Boyasi 100ml 5.35 Yogun Cikolata Kahve</t>
        </is>
      </c>
      <c r="E731" s="18" t="n">
        <v>6</v>
      </c>
      <c r="F731" s="18" t="n">
        <v>60</v>
      </c>
      <c r="G731" s="18" t="n">
        <v>0</v>
      </c>
      <c r="H731" s="18" t="n"/>
      <c r="I731" s="18" t="n"/>
      <c r="J731" s="18" t="n"/>
      <c r="K731" s="19">
        <f>H731+I731+J731</f>
        <v/>
      </c>
      <c r="L731" s="19">
        <f>K731-G731</f>
        <v/>
      </c>
      <c r="M731" s="20">
        <f>L731*E731</f>
        <v/>
      </c>
      <c r="N731" s="20" t="n">
        <v>50</v>
      </c>
      <c r="O731" s="20" t="n"/>
      <c r="P731" s="20">
        <f>O731-N731</f>
        <v/>
      </c>
      <c r="Q731" s="20">
        <f>P731*E731</f>
        <v/>
      </c>
      <c r="R731" s="20" t="n"/>
    </row>
    <row r="732" ht="20" customHeight="1" s="1">
      <c r="A732" s="21" t="inlineStr">
        <is>
          <t>19835</t>
        </is>
      </c>
      <c r="B732" s="22" t="inlineStr">
        <is>
          <t>Morfose</t>
        </is>
      </c>
      <c r="C732" s="21" t="inlineStr">
        <is>
          <t>8680678823952</t>
        </is>
      </c>
      <c r="D732" s="22" t="inlineStr">
        <is>
          <t>Morfose Sac Boyasi 100ml 5.6 Sarap Kizili</t>
        </is>
      </c>
      <c r="E732" s="23" t="n">
        <v>6</v>
      </c>
      <c r="F732" s="23" t="n">
        <v>60</v>
      </c>
      <c r="G732" s="23" t="n">
        <v>22</v>
      </c>
      <c r="H732" s="23" t="n"/>
      <c r="I732" s="23" t="n"/>
      <c r="J732" s="23" t="n"/>
      <c r="K732" s="19">
        <f>H732+I732+J732</f>
        <v/>
      </c>
      <c r="L732" s="19">
        <f>K732-G732</f>
        <v/>
      </c>
      <c r="M732" s="20">
        <f>L732*E732</f>
        <v/>
      </c>
      <c r="N732" s="20" t="n">
        <v>50</v>
      </c>
      <c r="O732" s="20" t="n"/>
      <c r="P732" s="20">
        <f>O732-N732</f>
        <v/>
      </c>
      <c r="Q732" s="20">
        <f>P732*E732</f>
        <v/>
      </c>
      <c r="R732" s="20" t="n"/>
    </row>
    <row r="733" ht="20" customHeight="1" s="1">
      <c r="A733" s="16" t="inlineStr">
        <is>
          <t>19836</t>
        </is>
      </c>
      <c r="B733" s="17" t="inlineStr">
        <is>
          <t>Morfose</t>
        </is>
      </c>
      <c r="C733" s="16" t="inlineStr">
        <is>
          <t>8680678823686</t>
        </is>
      </c>
      <c r="D733" s="17" t="inlineStr">
        <is>
          <t>Morfose Sac Boyasi 100ml 5.77 Yogun Karamel Kahve</t>
        </is>
      </c>
      <c r="E733" s="18" t="n">
        <v>6</v>
      </c>
      <c r="F733" s="18" t="n">
        <v>60</v>
      </c>
      <c r="G733" s="18" t="n">
        <v>22</v>
      </c>
      <c r="H733" s="18" t="n"/>
      <c r="I733" s="18" t="n"/>
      <c r="J733" s="18" t="n"/>
      <c r="K733" s="19">
        <f>H733+I733+J733</f>
        <v/>
      </c>
      <c r="L733" s="19">
        <f>K733-G733</f>
        <v/>
      </c>
      <c r="M733" s="20">
        <f>L733*E733</f>
        <v/>
      </c>
      <c r="N733" s="20" t="n">
        <v>50</v>
      </c>
      <c r="O733" s="20" t="n"/>
      <c r="P733" s="20">
        <f>O733-N733</f>
        <v/>
      </c>
      <c r="Q733" s="20">
        <f>P733*E733</f>
        <v/>
      </c>
      <c r="R733" s="20" t="n"/>
    </row>
    <row r="734" ht="20" customHeight="1" s="1">
      <c r="A734" s="21" t="inlineStr">
        <is>
          <t>19837</t>
        </is>
      </c>
      <c r="B734" s="22" t="inlineStr">
        <is>
          <t>Morfose</t>
        </is>
      </c>
      <c r="C734" s="21" t="inlineStr">
        <is>
          <t>8680678823587</t>
        </is>
      </c>
      <c r="D734" s="22" t="inlineStr">
        <is>
          <t>Morfose Sac Boyasi 100ml 6 Koyu Kumral</t>
        </is>
      </c>
      <c r="E734" s="23" t="n">
        <v>6</v>
      </c>
      <c r="F734" s="23" t="n">
        <v>60</v>
      </c>
      <c r="G734" s="23" t="n">
        <v>27</v>
      </c>
      <c r="H734" s="23" t="n"/>
      <c r="I734" s="23" t="n"/>
      <c r="J734" s="23" t="n"/>
      <c r="K734" s="19">
        <f>H734+I734+J734</f>
        <v/>
      </c>
      <c r="L734" s="19">
        <f>K734-G734</f>
        <v/>
      </c>
      <c r="M734" s="20">
        <f>L734*E734</f>
        <v/>
      </c>
      <c r="N734" s="20" t="n">
        <v>50</v>
      </c>
      <c r="O734" s="20" t="n"/>
      <c r="P734" s="20">
        <f>O734-N734</f>
        <v/>
      </c>
      <c r="Q734" s="20">
        <f>P734*E734</f>
        <v/>
      </c>
      <c r="R734" s="20" t="n"/>
    </row>
    <row r="735" ht="20" customHeight="1" s="1">
      <c r="A735" s="16" t="inlineStr">
        <is>
          <t>19838</t>
        </is>
      </c>
      <c r="B735" s="17" t="inlineStr">
        <is>
          <t>Morfose</t>
        </is>
      </c>
      <c r="C735" s="16" t="inlineStr">
        <is>
          <t>8681701002634</t>
        </is>
      </c>
      <c r="D735" s="17" t="inlineStr">
        <is>
          <t>Morfose Sac Boyasi 100ml 6.1 Koyu Kullu Kumral</t>
        </is>
      </c>
      <c r="E735" s="18" t="n">
        <v>6</v>
      </c>
      <c r="F735" s="18" t="n">
        <v>60</v>
      </c>
      <c r="G735" s="18" t="n">
        <v>18</v>
      </c>
      <c r="H735" s="18" t="n"/>
      <c r="I735" s="18" t="n"/>
      <c r="J735" s="18" t="n"/>
      <c r="K735" s="19">
        <f>H735+I735+J735</f>
        <v/>
      </c>
      <c r="L735" s="19">
        <f>K735-G735</f>
        <v/>
      </c>
      <c r="M735" s="20">
        <f>L735*E735</f>
        <v/>
      </c>
      <c r="N735" s="20" t="n">
        <v>50</v>
      </c>
      <c r="O735" s="20" t="n"/>
      <c r="P735" s="20">
        <f>O735-N735</f>
        <v/>
      </c>
      <c r="Q735" s="20">
        <f>P735*E735</f>
        <v/>
      </c>
      <c r="R735" s="20" t="n"/>
    </row>
    <row r="736" ht="20" customHeight="1" s="1">
      <c r="A736" s="21" t="inlineStr">
        <is>
          <t>19839</t>
        </is>
      </c>
      <c r="B736" s="22" t="inlineStr">
        <is>
          <t>Morfose</t>
        </is>
      </c>
      <c r="C736" s="21" t="inlineStr">
        <is>
          <t>8680678823778</t>
        </is>
      </c>
      <c r="D736" s="22" t="inlineStr">
        <is>
          <t>Morfose Sac Boyasi 100ml 6.11 Yogun Koyu Kullu Kumral</t>
        </is>
      </c>
      <c r="E736" s="23" t="n">
        <v>6</v>
      </c>
      <c r="F736" s="23" t="n">
        <v>60</v>
      </c>
      <c r="G736" s="23" t="n">
        <v>20</v>
      </c>
      <c r="H736" s="23" t="n"/>
      <c r="I736" s="23" t="n"/>
      <c r="J736" s="23" t="n"/>
      <c r="K736" s="19">
        <f>H736+I736+J736</f>
        <v/>
      </c>
      <c r="L736" s="19">
        <f>K736-G736</f>
        <v/>
      </c>
      <c r="M736" s="20">
        <f>L736*E736</f>
        <v/>
      </c>
      <c r="N736" s="20" t="n">
        <v>50</v>
      </c>
      <c r="O736" s="20" t="n"/>
      <c r="P736" s="20">
        <f>O736-N736</f>
        <v/>
      </c>
      <c r="Q736" s="20">
        <f>P736*E736</f>
        <v/>
      </c>
      <c r="R736" s="20" t="n"/>
    </row>
    <row r="737" ht="20" customHeight="1" s="1">
      <c r="A737" s="16" t="inlineStr">
        <is>
          <t>19840</t>
        </is>
      </c>
      <c r="B737" s="17" t="inlineStr">
        <is>
          <t>Morfose</t>
        </is>
      </c>
      <c r="C737" s="16" t="inlineStr">
        <is>
          <t>8681701005352</t>
        </is>
      </c>
      <c r="D737" s="17" t="inlineStr">
        <is>
          <t>Morfose Sac Boyasi 100ml 6.111 Ekstra Mat Koyu Kullu Kumral</t>
        </is>
      </c>
      <c r="E737" s="18" t="n">
        <v>6</v>
      </c>
      <c r="F737" s="18" t="n">
        <v>60</v>
      </c>
      <c r="G737" s="18" t="n">
        <v>27</v>
      </c>
      <c r="H737" s="18" t="n"/>
      <c r="I737" s="18" t="n"/>
      <c r="J737" s="18" t="n"/>
      <c r="K737" s="19">
        <f>H737+I737+J737</f>
        <v/>
      </c>
      <c r="L737" s="19">
        <f>K737-G737</f>
        <v/>
      </c>
      <c r="M737" s="20">
        <f>L737*E737</f>
        <v/>
      </c>
      <c r="N737" s="20" t="n">
        <v>50</v>
      </c>
      <c r="O737" s="20" t="n"/>
      <c r="P737" s="20">
        <f>O737-N737</f>
        <v/>
      </c>
      <c r="Q737" s="20">
        <f>P737*E737</f>
        <v/>
      </c>
      <c r="R737" s="20" t="n"/>
    </row>
    <row r="738" ht="20" customHeight="1" s="1">
      <c r="A738" s="21" t="inlineStr">
        <is>
          <t>19841</t>
        </is>
      </c>
      <c r="B738" s="22" t="inlineStr">
        <is>
          <t>Morfose</t>
        </is>
      </c>
      <c r="C738" s="21" t="inlineStr">
        <is>
          <t>8680678824027</t>
        </is>
      </c>
      <c r="D738" s="22" t="inlineStr">
        <is>
          <t>Morfose Sac Boyasi 100ml 6.22 Cezayir Meneksesi</t>
        </is>
      </c>
      <c r="E738" s="23" t="n">
        <v>6</v>
      </c>
      <c r="F738" s="23" t="n">
        <v>60</v>
      </c>
      <c r="G738" s="23" t="n">
        <v>35</v>
      </c>
      <c r="H738" s="23" t="n"/>
      <c r="I738" s="23" t="n"/>
      <c r="J738" s="23" t="n"/>
      <c r="K738" s="19">
        <f>H738+I738+J738</f>
        <v/>
      </c>
      <c r="L738" s="19">
        <f>K738-G738</f>
        <v/>
      </c>
      <c r="M738" s="20">
        <f>L738*E738</f>
        <v/>
      </c>
      <c r="N738" s="20" t="n">
        <v>50</v>
      </c>
      <c r="O738" s="20" t="n"/>
      <c r="P738" s="20">
        <f>O738-N738</f>
        <v/>
      </c>
      <c r="Q738" s="20">
        <f>P738*E738</f>
        <v/>
      </c>
      <c r="R738" s="20" t="n"/>
    </row>
    <row r="739" ht="20" customHeight="1" s="1">
      <c r="A739" s="16" t="inlineStr">
        <is>
          <t>19842</t>
        </is>
      </c>
      <c r="B739" s="17" t="inlineStr">
        <is>
          <t>Morfose</t>
        </is>
      </c>
      <c r="C739" s="16" t="inlineStr">
        <is>
          <t>8680678823839</t>
        </is>
      </c>
      <c r="D739" s="17" t="inlineStr">
        <is>
          <t>Morfose Sac Boyasi 100ml 6.3 Koyu Kumral Dore</t>
        </is>
      </c>
      <c r="E739" s="18" t="n">
        <v>6</v>
      </c>
      <c r="F739" s="18" t="n">
        <v>60</v>
      </c>
      <c r="G739" s="18" t="n">
        <v>45</v>
      </c>
      <c r="H739" s="18" t="n"/>
      <c r="I739" s="18" t="n"/>
      <c r="J739" s="18" t="n"/>
      <c r="K739" s="19">
        <f>H739+I739+J739</f>
        <v/>
      </c>
      <c r="L739" s="19">
        <f>K739-G739</f>
        <v/>
      </c>
      <c r="M739" s="20">
        <f>L739*E739</f>
        <v/>
      </c>
      <c r="N739" s="20" t="n">
        <v>50</v>
      </c>
      <c r="O739" s="20" t="n"/>
      <c r="P739" s="20">
        <f>O739-N739</f>
        <v/>
      </c>
      <c r="Q739" s="20">
        <f>P739*E739</f>
        <v/>
      </c>
      <c r="R739" s="20" t="n"/>
    </row>
    <row r="740" ht="20" customHeight="1" s="1">
      <c r="A740" s="21" t="inlineStr">
        <is>
          <t>19843</t>
        </is>
      </c>
      <c r="B740" s="22" t="inlineStr">
        <is>
          <t>Morfose</t>
        </is>
      </c>
      <c r="C740" s="21" t="inlineStr">
        <is>
          <t>8681701002641</t>
        </is>
      </c>
      <c r="D740" s="22" t="inlineStr">
        <is>
          <t>Morfose Sac Boyasi 100ml 6.34 Bakir Kahve</t>
        </is>
      </c>
      <c r="E740" s="23" t="n">
        <v>6</v>
      </c>
      <c r="F740" s="23" t="n">
        <v>60</v>
      </c>
      <c r="G740" s="23" t="n">
        <v>15</v>
      </c>
      <c r="H740" s="23" t="n"/>
      <c r="I740" s="23" t="n"/>
      <c r="J740" s="23" t="n"/>
      <c r="K740" s="19">
        <f>H740+I740+J740</f>
        <v/>
      </c>
      <c r="L740" s="19">
        <f>K740-G740</f>
        <v/>
      </c>
      <c r="M740" s="20">
        <f>L740*E740</f>
        <v/>
      </c>
      <c r="N740" s="20" t="n">
        <v>50</v>
      </c>
      <c r="O740" s="20" t="n"/>
      <c r="P740" s="20">
        <f>O740-N740</f>
        <v/>
      </c>
      <c r="Q740" s="20">
        <f>P740*E740</f>
        <v/>
      </c>
      <c r="R740" s="20" t="n"/>
    </row>
    <row r="741" ht="20" customHeight="1" s="1">
      <c r="A741" s="16" t="inlineStr">
        <is>
          <t>19844</t>
        </is>
      </c>
      <c r="B741" s="17" t="inlineStr">
        <is>
          <t>Morfose</t>
        </is>
      </c>
      <c r="C741" s="16" t="inlineStr">
        <is>
          <t>8680678823655</t>
        </is>
      </c>
      <c r="D741" s="17" t="inlineStr">
        <is>
          <t>Morfose Sac Boyasi 100ml 6.35 Cikolata Kahve</t>
        </is>
      </c>
      <c r="E741" s="18" t="n">
        <v>6</v>
      </c>
      <c r="F741" s="18" t="n">
        <v>60</v>
      </c>
      <c r="G741" s="18" t="n">
        <v>18</v>
      </c>
      <c r="H741" s="18" t="n"/>
      <c r="I741" s="18" t="n"/>
      <c r="J741" s="18" t="n"/>
      <c r="K741" s="19">
        <f>H741+I741+J741</f>
        <v/>
      </c>
      <c r="L741" s="19">
        <f>K741-G741</f>
        <v/>
      </c>
      <c r="M741" s="20">
        <f>L741*E741</f>
        <v/>
      </c>
      <c r="N741" s="20" t="n">
        <v>50</v>
      </c>
      <c r="O741" s="20" t="n"/>
      <c r="P741" s="20">
        <f>O741-N741</f>
        <v/>
      </c>
      <c r="Q741" s="20">
        <f>P741*E741</f>
        <v/>
      </c>
      <c r="R741" s="20" t="n"/>
    </row>
    <row r="742" ht="20" customHeight="1" s="1">
      <c r="A742" s="21" t="inlineStr">
        <is>
          <t>19845</t>
        </is>
      </c>
      <c r="B742" s="22" t="inlineStr">
        <is>
          <t>Morfose</t>
        </is>
      </c>
      <c r="C742" s="21" t="inlineStr">
        <is>
          <t>8681701002658</t>
        </is>
      </c>
      <c r="D742" s="22" t="inlineStr">
        <is>
          <t>Morfose Sac Boyasi 100ml 6.4 Koyu Bakir</t>
        </is>
      </c>
      <c r="E742" s="23" t="n">
        <v>6</v>
      </c>
      <c r="F742" s="23" t="n">
        <v>60</v>
      </c>
      <c r="G742" s="23" t="n">
        <v>11</v>
      </c>
      <c r="H742" s="23" t="n"/>
      <c r="I742" s="23" t="n"/>
      <c r="J742" s="23" t="n"/>
      <c r="K742" s="19" t="n"/>
      <c r="L742" s="19" t="n"/>
      <c r="M742" s="20" t="n"/>
      <c r="N742" s="20" t="n">
        <v>50</v>
      </c>
      <c r="O742" s="20" t="n"/>
      <c r="P742" s="20">
        <f>O742-N742</f>
        <v/>
      </c>
      <c r="Q742" s="20">
        <f>P742*E742</f>
        <v/>
      </c>
      <c r="R742" s="20" t="n"/>
    </row>
    <row r="743" ht="20" customHeight="1" s="1">
      <c r="A743" s="16" t="inlineStr">
        <is>
          <t>19846</t>
        </is>
      </c>
      <c r="B743" s="17" t="inlineStr">
        <is>
          <t>Morfose</t>
        </is>
      </c>
      <c r="C743" s="16" t="inlineStr">
        <is>
          <t>8681701002740</t>
        </is>
      </c>
      <c r="D743" s="17" t="inlineStr">
        <is>
          <t>Morfose Sac Boyasi 100ml 6.44 Koyu Yogun Bakir</t>
        </is>
      </c>
      <c r="E743" s="18" t="n">
        <v>6</v>
      </c>
      <c r="F743" s="18" t="n">
        <v>60</v>
      </c>
      <c r="G743" s="18" t="n">
        <v>0</v>
      </c>
      <c r="H743" s="18" t="n"/>
      <c r="I743" s="18" t="n"/>
      <c r="J743" s="18" t="n"/>
      <c r="K743" s="19">
        <f>H743+I743+J743</f>
        <v/>
      </c>
      <c r="L743" s="19">
        <f>K743-G743</f>
        <v/>
      </c>
      <c r="M743" s="20">
        <f>L743*E743</f>
        <v/>
      </c>
      <c r="N743" s="20" t="n">
        <v>50</v>
      </c>
      <c r="O743" s="20" t="n"/>
      <c r="P743" s="20">
        <f>O743-N743</f>
        <v/>
      </c>
      <c r="Q743" s="20">
        <f>P743*E743</f>
        <v/>
      </c>
      <c r="R743" s="20" t="n"/>
    </row>
    <row r="744" ht="20" customHeight="1" s="1">
      <c r="A744" s="21" t="inlineStr">
        <is>
          <t>19847</t>
        </is>
      </c>
      <c r="B744" s="22" t="inlineStr">
        <is>
          <t>Morfose</t>
        </is>
      </c>
      <c r="C744" s="21" t="inlineStr">
        <is>
          <t>8680678823969</t>
        </is>
      </c>
      <c r="D744" s="22" t="inlineStr">
        <is>
          <t>Morfose Sac Boyasi 100ml 6.6 Yogun Kizil</t>
        </is>
      </c>
      <c r="E744" s="23" t="n">
        <v>6</v>
      </c>
      <c r="F744" s="23" t="n">
        <v>60</v>
      </c>
      <c r="G744" s="23" t="n">
        <v>24</v>
      </c>
      <c r="H744" s="23" t="n"/>
      <c r="I744" s="23" t="n"/>
      <c r="J744" s="23" t="n"/>
      <c r="K744" s="19" t="n"/>
      <c r="L744" s="19" t="n"/>
      <c r="M744" s="20" t="n"/>
      <c r="N744" s="20" t="n">
        <v>50</v>
      </c>
      <c r="O744" s="20" t="n"/>
      <c r="P744" s="20">
        <f>O744-N744</f>
        <v/>
      </c>
      <c r="Q744" s="20">
        <f>P744*E744</f>
        <v/>
      </c>
      <c r="R744" s="20" t="n"/>
    </row>
    <row r="745" ht="20" customHeight="1" s="1">
      <c r="A745" s="16" t="inlineStr">
        <is>
          <t>19848</t>
        </is>
      </c>
      <c r="B745" s="17" t="inlineStr">
        <is>
          <t>Morfose</t>
        </is>
      </c>
      <c r="C745" s="16" t="inlineStr">
        <is>
          <t>8680678823983</t>
        </is>
      </c>
      <c r="D745" s="17" t="inlineStr">
        <is>
          <t>Morfose Sac Boyasi 100ml 6.65 Kontrast Yakut</t>
        </is>
      </c>
      <c r="E745" s="18" t="n">
        <v>6</v>
      </c>
      <c r="F745" s="18" t="n">
        <v>60</v>
      </c>
      <c r="G745" s="18" t="n">
        <v>22</v>
      </c>
      <c r="H745" s="18" t="n"/>
      <c r="I745" s="18" t="n"/>
      <c r="J745" s="18" t="n"/>
      <c r="K745" s="19">
        <f>H745+I745+J745</f>
        <v/>
      </c>
      <c r="L745" s="19">
        <f>K745-G745</f>
        <v/>
      </c>
      <c r="M745" s="20">
        <f>L745*E745</f>
        <v/>
      </c>
      <c r="N745" s="20" t="n">
        <v>50</v>
      </c>
      <c r="O745" s="20" t="n"/>
      <c r="P745" s="20">
        <f>O745-N745</f>
        <v/>
      </c>
      <c r="Q745" s="20">
        <f>P745*E745</f>
        <v/>
      </c>
      <c r="R745" s="20" t="n"/>
    </row>
    <row r="746" ht="20" customHeight="1" s="1">
      <c r="A746" s="21" t="inlineStr">
        <is>
          <t>19849</t>
        </is>
      </c>
      <c r="B746" s="22" t="inlineStr">
        <is>
          <t>Morfose</t>
        </is>
      </c>
      <c r="C746" s="21" t="inlineStr">
        <is>
          <t>8680678823723</t>
        </is>
      </c>
      <c r="D746" s="22" t="inlineStr">
        <is>
          <t>Morfose Sac Boyasi 100ml 6.73 Yogun Kapucino Kahve</t>
        </is>
      </c>
      <c r="E746" s="23" t="n">
        <v>6</v>
      </c>
      <c r="F746" s="23" t="n">
        <v>60</v>
      </c>
      <c r="G746" s="23" t="n">
        <v>16</v>
      </c>
      <c r="H746" s="23" t="n"/>
      <c r="I746" s="23" t="n"/>
      <c r="J746" s="23" t="n"/>
      <c r="K746" s="19">
        <f>H746+I746+J746</f>
        <v/>
      </c>
      <c r="L746" s="19">
        <f>K746-G746</f>
        <v/>
      </c>
      <c r="M746" s="20">
        <f>L746*E746</f>
        <v/>
      </c>
      <c r="N746" s="20" t="n">
        <v>50</v>
      </c>
      <c r="O746" s="20" t="n"/>
      <c r="P746" s="20">
        <f>O746-N746</f>
        <v/>
      </c>
      <c r="Q746" s="20">
        <f>P746*E746</f>
        <v/>
      </c>
      <c r="R746" s="20" t="n"/>
    </row>
    <row r="747" ht="20" customHeight="1" s="1">
      <c r="A747" s="16" t="inlineStr">
        <is>
          <t>19850</t>
        </is>
      </c>
      <c r="B747" s="17" t="inlineStr">
        <is>
          <t>Morfose</t>
        </is>
      </c>
      <c r="C747" s="16" t="inlineStr">
        <is>
          <t>8681701002801</t>
        </is>
      </c>
      <c r="D747" s="17" t="inlineStr">
        <is>
          <t>Morfose Sac Boyasi 100ml 6.74 Findik Kabugu</t>
        </is>
      </c>
      <c r="E747" s="18" t="n">
        <v>6</v>
      </c>
      <c r="F747" s="18" t="n">
        <v>60</v>
      </c>
      <c r="G747" s="18" t="n">
        <v>9</v>
      </c>
      <c r="H747" s="18" t="n"/>
      <c r="I747" s="18" t="n"/>
      <c r="J747" s="18" t="n"/>
      <c r="K747" s="19">
        <f>H747+I747+J747</f>
        <v/>
      </c>
      <c r="L747" s="19">
        <f>K747-G747</f>
        <v/>
      </c>
      <c r="M747" s="20">
        <f>L747*E747</f>
        <v/>
      </c>
      <c r="N747" s="20" t="n">
        <v>50</v>
      </c>
      <c r="O747" s="20" t="n"/>
      <c r="P747" s="20">
        <f>O747-N747</f>
        <v/>
      </c>
      <c r="Q747" s="20">
        <f>P747*E747</f>
        <v/>
      </c>
      <c r="R747" s="20" t="n"/>
    </row>
    <row r="748" ht="20" customHeight="1" s="1">
      <c r="A748" s="21" t="inlineStr">
        <is>
          <t>19851</t>
        </is>
      </c>
      <c r="B748" s="22" t="inlineStr">
        <is>
          <t>Morfose</t>
        </is>
      </c>
      <c r="C748" s="21" t="inlineStr">
        <is>
          <t>8680678823693</t>
        </is>
      </c>
      <c r="D748" s="22" t="inlineStr">
        <is>
          <t>Morfose Sac Boyasi 100ml 6.77 Karamel Kahve</t>
        </is>
      </c>
      <c r="E748" s="23" t="n">
        <v>6</v>
      </c>
      <c r="F748" s="23" t="n">
        <v>60</v>
      </c>
      <c r="G748" s="23" t="n">
        <v>15</v>
      </c>
      <c r="H748" s="23" t="n"/>
      <c r="I748" s="23" t="n"/>
      <c r="J748" s="23" t="n"/>
      <c r="K748" s="19">
        <f>H748+I748+J748</f>
        <v/>
      </c>
      <c r="L748" s="19">
        <f>K748-G748</f>
        <v/>
      </c>
      <c r="M748" s="20">
        <f>L748*E748</f>
        <v/>
      </c>
      <c r="N748" s="20" t="n">
        <v>50</v>
      </c>
      <c r="O748" s="20" t="n"/>
      <c r="P748" s="20">
        <f>O748-N748</f>
        <v/>
      </c>
      <c r="Q748" s="20">
        <f>P748*E748</f>
        <v/>
      </c>
      <c r="R748" s="20" t="n"/>
    </row>
    <row r="749" ht="20" customHeight="1" s="1">
      <c r="A749" s="16" t="inlineStr">
        <is>
          <t>19853</t>
        </is>
      </c>
      <c r="B749" s="17" t="inlineStr">
        <is>
          <t>Morfose</t>
        </is>
      </c>
      <c r="C749" s="16" t="inlineStr">
        <is>
          <t>8681701008087</t>
        </is>
      </c>
      <c r="D749" s="17" t="inlineStr">
        <is>
          <t>Morfose Sac Boyasi 100ml 6.71 Koyu Kullu Kahve</t>
        </is>
      </c>
      <c r="E749" s="18" t="n">
        <v>6</v>
      </c>
      <c r="F749" s="18" t="n">
        <v>60</v>
      </c>
      <c r="G749" s="18" t="n">
        <v>23</v>
      </c>
      <c r="H749" s="18" t="n"/>
      <c r="I749" s="18" t="n"/>
      <c r="J749" s="18" t="n"/>
      <c r="K749" s="19">
        <f>H749+I749+J749</f>
        <v/>
      </c>
      <c r="L749" s="19">
        <f>K749-G749</f>
        <v/>
      </c>
      <c r="M749" s="20">
        <f>L749*E749</f>
        <v/>
      </c>
      <c r="N749" s="20" t="n">
        <v>50</v>
      </c>
      <c r="O749" s="20" t="n"/>
      <c r="P749" s="20">
        <f>O749-N749</f>
        <v/>
      </c>
      <c r="Q749" s="20">
        <f>P749*E749</f>
        <v/>
      </c>
      <c r="R749" s="20" t="n"/>
    </row>
    <row r="750" ht="20" customHeight="1" s="1">
      <c r="A750" s="21" t="inlineStr">
        <is>
          <t>19852</t>
        </is>
      </c>
      <c r="B750" s="22" t="inlineStr">
        <is>
          <t>Morfose</t>
        </is>
      </c>
      <c r="C750" s="21" t="inlineStr">
        <is>
          <t>8680678831209</t>
        </is>
      </c>
      <c r="D750" s="22" t="inlineStr">
        <is>
          <t>Morfose Sac Boyasi 100ml 6S Yogun Koyu Kumral</t>
        </is>
      </c>
      <c r="E750" s="23" t="n">
        <v>6</v>
      </c>
      <c r="F750" s="23" t="n">
        <v>60</v>
      </c>
      <c r="G750" s="23" t="n">
        <v>0</v>
      </c>
      <c r="H750" s="23" t="n"/>
      <c r="I750" s="23" t="n"/>
      <c r="J750" s="23" t="n"/>
      <c r="K750" s="19">
        <f>H750+I750+J750</f>
        <v/>
      </c>
      <c r="L750" s="19">
        <f>K750-G750</f>
        <v/>
      </c>
      <c r="M750" s="20">
        <f>L750*E750</f>
        <v/>
      </c>
      <c r="N750" s="20" t="n">
        <v>50</v>
      </c>
      <c r="O750" s="20" t="n"/>
      <c r="P750" s="20">
        <f>O750-N750</f>
        <v/>
      </c>
      <c r="Q750" s="20">
        <f>P750*E750</f>
        <v/>
      </c>
      <c r="R750" s="20" t="n"/>
    </row>
    <row r="751" ht="20" customHeight="1" s="1">
      <c r="A751" s="16" t="inlineStr">
        <is>
          <t>19854</t>
        </is>
      </c>
      <c r="B751" s="17" t="inlineStr">
        <is>
          <t>Morfose</t>
        </is>
      </c>
      <c r="C751" s="16" t="inlineStr">
        <is>
          <t>8680678823594</t>
        </is>
      </c>
      <c r="D751" s="17" t="inlineStr">
        <is>
          <t>Morfose Sac Boyasi 100ml 7 Kumral</t>
        </is>
      </c>
      <c r="E751" s="18" t="n">
        <v>6</v>
      </c>
      <c r="F751" s="18" t="n">
        <v>60</v>
      </c>
      <c r="G751" s="18" t="n">
        <v>21</v>
      </c>
      <c r="H751" s="18" t="n"/>
      <c r="I751" s="18" t="n"/>
      <c r="J751" s="18" t="n"/>
      <c r="K751" s="19">
        <f>H751+I751+J751</f>
        <v/>
      </c>
      <c r="L751" s="19">
        <f>K751-G751</f>
        <v/>
      </c>
      <c r="M751" s="20">
        <f>L751*E751</f>
        <v/>
      </c>
      <c r="N751" s="20" t="n">
        <v>50</v>
      </c>
      <c r="O751" s="20" t="n"/>
      <c r="P751" s="20">
        <f>O751-N751</f>
        <v/>
      </c>
      <c r="Q751" s="20">
        <f>P751*E751</f>
        <v/>
      </c>
      <c r="R751" s="20" t="n"/>
    </row>
    <row r="752" ht="20" customHeight="1" s="1">
      <c r="A752" s="21" t="inlineStr">
        <is>
          <t>19855</t>
        </is>
      </c>
      <c r="B752" s="22" t="inlineStr">
        <is>
          <t>Morfose</t>
        </is>
      </c>
      <c r="C752" s="21" t="inlineStr">
        <is>
          <t>8681701002610</t>
        </is>
      </c>
      <c r="D752" s="22" t="inlineStr">
        <is>
          <t>Morfose Sac Boyasi 100ml 7.1 Kullu Kumral</t>
        </is>
      </c>
      <c r="E752" s="23" t="n">
        <v>6</v>
      </c>
      <c r="F752" s="23" t="n">
        <v>60</v>
      </c>
      <c r="G752" s="23" t="n">
        <v>75</v>
      </c>
      <c r="H752" s="23" t="n"/>
      <c r="I752" s="23" t="n"/>
      <c r="J752" s="23" t="n"/>
      <c r="K752" s="19">
        <f>H752+I752+J752</f>
        <v/>
      </c>
      <c r="L752" s="19">
        <f>K752-G752</f>
        <v/>
      </c>
      <c r="M752" s="20">
        <f>L752*E752</f>
        <v/>
      </c>
      <c r="N752" s="20" t="n">
        <v>50</v>
      </c>
      <c r="O752" s="20" t="n">
        <v>56</v>
      </c>
      <c r="P752" s="20">
        <f>O752-N752</f>
        <v/>
      </c>
      <c r="Q752" s="20">
        <f>P752*E752</f>
        <v/>
      </c>
      <c r="R752" s="20" t="n"/>
    </row>
    <row r="753" ht="20" customHeight="1" s="1">
      <c r="A753" s="16" t="inlineStr">
        <is>
          <t>19856</t>
        </is>
      </c>
      <c r="B753" s="17" t="inlineStr">
        <is>
          <t>Morfose</t>
        </is>
      </c>
      <c r="C753" s="16" t="inlineStr">
        <is>
          <t>8680678823785</t>
        </is>
      </c>
      <c r="D753" s="17" t="inlineStr">
        <is>
          <t>Morfose Sac Boyasi 100ml 7.11 Yogun Kullu Kumral</t>
        </is>
      </c>
      <c r="E753" s="18" t="n">
        <v>6</v>
      </c>
      <c r="F753" s="18" t="n">
        <v>60</v>
      </c>
      <c r="G753" s="18" t="n">
        <v>26</v>
      </c>
      <c r="H753" s="18" t="n"/>
      <c r="I753" s="18" t="n"/>
      <c r="J753" s="18" t="n"/>
      <c r="K753" s="19">
        <f>H753+I753+J753</f>
        <v/>
      </c>
      <c r="L753" s="19">
        <f>K753-G753</f>
        <v/>
      </c>
      <c r="M753" s="20">
        <f>L753*E753</f>
        <v/>
      </c>
      <c r="N753" s="20" t="n">
        <v>50</v>
      </c>
      <c r="O753" s="20" t="n"/>
      <c r="P753" s="20">
        <f>O753-N753</f>
        <v/>
      </c>
      <c r="Q753" s="20">
        <f>P753*E753</f>
        <v/>
      </c>
      <c r="R753" s="20" t="n"/>
    </row>
    <row r="754" ht="20" customHeight="1" s="1">
      <c r="A754" s="21" t="inlineStr">
        <is>
          <t>19857</t>
        </is>
      </c>
      <c r="B754" s="22" t="inlineStr">
        <is>
          <t>Morfose</t>
        </is>
      </c>
      <c r="C754" s="21" t="inlineStr">
        <is>
          <t>8681701005369</t>
        </is>
      </c>
      <c r="D754" s="22" t="inlineStr">
        <is>
          <t>Morfose Sac Boyasi 100ml 7.111 Esktra Mat Kullu Kumral</t>
        </is>
      </c>
      <c r="E754" s="23" t="n">
        <v>6</v>
      </c>
      <c r="F754" s="23" t="n">
        <v>60</v>
      </c>
      <c r="G754" s="23" t="n">
        <v>33</v>
      </c>
      <c r="H754" s="23" t="n"/>
      <c r="I754" s="23" t="n"/>
      <c r="J754" s="23" t="n"/>
      <c r="K754" s="19">
        <f>H754+I754+J754</f>
        <v/>
      </c>
      <c r="L754" s="19">
        <f>K754-G754</f>
        <v/>
      </c>
      <c r="M754" s="20">
        <f>L754*E754</f>
        <v/>
      </c>
      <c r="N754" s="20" t="n">
        <v>50</v>
      </c>
      <c r="O754" s="20" t="n"/>
      <c r="P754" s="20">
        <f>O754-N754</f>
        <v/>
      </c>
      <c r="Q754" s="20">
        <f>P754*E754</f>
        <v/>
      </c>
      <c r="R754" s="20" t="n"/>
    </row>
    <row r="755" ht="20" customHeight="1" s="1">
      <c r="A755" s="16" t="inlineStr">
        <is>
          <t>19872</t>
        </is>
      </c>
      <c r="B755" s="17" t="inlineStr">
        <is>
          <t>Morfose</t>
        </is>
      </c>
      <c r="C755" s="16" t="inlineStr">
        <is>
          <t>8681701008148</t>
        </is>
      </c>
      <c r="D755" s="17" t="inlineStr">
        <is>
          <t>Morfose Sac Boyasi 100ml 7.12 Kumral Kullu Irize</t>
        </is>
      </c>
      <c r="E755" s="18" t="n">
        <v>6</v>
      </c>
      <c r="F755" s="18" t="n">
        <v>60</v>
      </c>
      <c r="G755" s="18" t="n">
        <v>10</v>
      </c>
      <c r="H755" s="18" t="n"/>
      <c r="I755" s="18" t="n"/>
      <c r="J755" s="18" t="n"/>
      <c r="K755" s="19" t="n"/>
      <c r="L755" s="19" t="n"/>
      <c r="M755" s="20" t="n"/>
      <c r="N755" s="20" t="n">
        <v>50</v>
      </c>
      <c r="O755" s="20" t="n"/>
      <c r="P755" s="20">
        <f>O755-N755</f>
        <v/>
      </c>
      <c r="Q755" s="20">
        <f>P755*E755</f>
        <v/>
      </c>
      <c r="R755" s="20" t="n"/>
    </row>
    <row r="756" ht="20" customHeight="1" s="1">
      <c r="A756" s="21" t="inlineStr">
        <is>
          <t>19873</t>
        </is>
      </c>
      <c r="B756" s="22" t="inlineStr">
        <is>
          <t>Morfose</t>
        </is>
      </c>
      <c r="C756" s="21" t="inlineStr">
        <is>
          <t>8681701008179</t>
        </is>
      </c>
      <c r="D756" s="22" t="inlineStr">
        <is>
          <t>Morfose Sac Boyasi 100ml 7.21 Kumral Irize Kullu</t>
        </is>
      </c>
      <c r="E756" s="23" t="n">
        <v>6</v>
      </c>
      <c r="F756" s="23" t="n">
        <v>60</v>
      </c>
      <c r="G756" s="23" t="n">
        <v>16</v>
      </c>
      <c r="H756" s="23" t="n"/>
      <c r="I756" s="23" t="n"/>
      <c r="J756" s="23" t="n"/>
      <c r="K756" s="19">
        <f>H756+I756+J756</f>
        <v/>
      </c>
      <c r="L756" s="19">
        <f>K756-G756</f>
        <v/>
      </c>
      <c r="M756" s="20">
        <f>L756*E756</f>
        <v/>
      </c>
      <c r="N756" s="20" t="n">
        <v>50</v>
      </c>
      <c r="O756" s="20" t="n"/>
      <c r="P756" s="20">
        <f>O756-N756</f>
        <v/>
      </c>
      <c r="Q756" s="20">
        <f>P756*E756</f>
        <v/>
      </c>
      <c r="R756" s="20" t="n"/>
    </row>
    <row r="757" ht="20" customHeight="1" s="1">
      <c r="A757" s="16" t="inlineStr">
        <is>
          <t>19858</t>
        </is>
      </c>
      <c r="B757" s="17" t="inlineStr">
        <is>
          <t>Morfose</t>
        </is>
      </c>
      <c r="C757" s="16" t="inlineStr">
        <is>
          <t>8681701002672</t>
        </is>
      </c>
      <c r="D757" s="17" t="inlineStr">
        <is>
          <t>Morfose Sac Boyasi 100ml 7.22 Acik Viole</t>
        </is>
      </c>
      <c r="E757" s="18" t="n">
        <v>6</v>
      </c>
      <c r="F757" s="18" t="n">
        <v>60</v>
      </c>
      <c r="G757" s="18" t="n">
        <v>31</v>
      </c>
      <c r="H757" s="18" t="n"/>
      <c r="I757" s="18" t="n"/>
      <c r="J757" s="18" t="n"/>
      <c r="K757" s="19">
        <f>H757+I757+J757</f>
        <v/>
      </c>
      <c r="L757" s="19">
        <f>K757-G757</f>
        <v/>
      </c>
      <c r="M757" s="20">
        <f>L757*E757</f>
        <v/>
      </c>
      <c r="N757" s="20" t="n">
        <v>50</v>
      </c>
      <c r="O757" s="20" t="n"/>
      <c r="P757" s="20">
        <f>O757-N757</f>
        <v/>
      </c>
      <c r="Q757" s="20">
        <f>P757*E757</f>
        <v/>
      </c>
      <c r="R757" s="20" t="n"/>
    </row>
    <row r="758" ht="20" customHeight="1" s="1">
      <c r="A758" s="21" t="inlineStr">
        <is>
          <t>19859</t>
        </is>
      </c>
      <c r="B758" s="22" t="inlineStr">
        <is>
          <t>Morfose</t>
        </is>
      </c>
      <c r="C758" s="21" t="inlineStr">
        <is>
          <t>8680678823846</t>
        </is>
      </c>
      <c r="D758" s="22" t="inlineStr">
        <is>
          <t>Morfose Sac Boyasi 100ml 7.3 Kumral Dore</t>
        </is>
      </c>
      <c r="E758" s="23" t="n">
        <v>6</v>
      </c>
      <c r="F758" s="23" t="n">
        <v>60</v>
      </c>
      <c r="G758" s="23" t="n">
        <v>14</v>
      </c>
      <c r="H758" s="23" t="n"/>
      <c r="I758" s="23" t="n"/>
      <c r="J758" s="23" t="n"/>
      <c r="K758" s="19" t="n"/>
      <c r="L758" s="19" t="n"/>
      <c r="M758" s="20" t="n"/>
      <c r="N758" s="20" t="n">
        <v>50</v>
      </c>
      <c r="O758" s="20" t="n"/>
      <c r="P758" s="20">
        <f>O758-N758</f>
        <v/>
      </c>
      <c r="Q758" s="20">
        <f>P758*E758</f>
        <v/>
      </c>
      <c r="R758" s="20" t="n"/>
    </row>
    <row r="759" ht="20" customHeight="1" s="1">
      <c r="A759" s="16" t="inlineStr">
        <is>
          <t>19860</t>
        </is>
      </c>
      <c r="B759" s="17" t="inlineStr">
        <is>
          <t>Morfose</t>
        </is>
      </c>
      <c r="C759" s="16" t="inlineStr">
        <is>
          <t>8680678823907</t>
        </is>
      </c>
      <c r="D759" s="17" t="inlineStr">
        <is>
          <t>Morfose Sac Boyasi 100ml 7.34 Acik Bakir Kahve</t>
        </is>
      </c>
      <c r="E759" s="18" t="n">
        <v>6</v>
      </c>
      <c r="F759" s="18" t="n">
        <v>60</v>
      </c>
      <c r="G759" s="18" t="n">
        <v>36</v>
      </c>
      <c r="H759" s="18" t="n"/>
      <c r="I759" s="18" t="n"/>
      <c r="J759" s="18" t="n"/>
      <c r="K759" s="19">
        <f>H759+I759+J759</f>
        <v/>
      </c>
      <c r="L759" s="19">
        <f>K759-G759</f>
        <v/>
      </c>
      <c r="M759" s="20">
        <f>L759*E759</f>
        <v/>
      </c>
      <c r="N759" s="20" t="n">
        <v>50</v>
      </c>
      <c r="O759" s="20" t="n"/>
      <c r="P759" s="20">
        <f>O759-N759</f>
        <v/>
      </c>
      <c r="Q759" s="20">
        <f>P759*E759</f>
        <v/>
      </c>
      <c r="R759" s="20" t="n"/>
    </row>
    <row r="760" ht="20" customHeight="1" s="1">
      <c r="A760" s="21" t="inlineStr">
        <is>
          <t>19861</t>
        </is>
      </c>
      <c r="B760" s="22" t="inlineStr">
        <is>
          <t>Morfose</t>
        </is>
      </c>
      <c r="C760" s="21" t="inlineStr">
        <is>
          <t>8680678823662</t>
        </is>
      </c>
      <c r="D760" s="22" t="inlineStr">
        <is>
          <t>Morfose Sac Boyasi 100ml 7.35 Sicak Cikolata Kahve</t>
        </is>
      </c>
      <c r="E760" s="23" t="n">
        <v>6</v>
      </c>
      <c r="F760" s="23" t="n">
        <v>60</v>
      </c>
      <c r="G760" s="23" t="n">
        <v>21</v>
      </c>
      <c r="H760" s="23" t="n"/>
      <c r="I760" s="23" t="n"/>
      <c r="J760" s="23" t="n"/>
      <c r="K760" s="19">
        <f>H760+I760+J760</f>
        <v/>
      </c>
      <c r="L760" s="19">
        <f>K760-G760</f>
        <v/>
      </c>
      <c r="M760" s="20">
        <f>L760*E760</f>
        <v/>
      </c>
      <c r="N760" s="20" t="n">
        <v>50</v>
      </c>
      <c r="O760" s="20" t="n"/>
      <c r="P760" s="20">
        <f>O760-N760</f>
        <v/>
      </c>
      <c r="Q760" s="20">
        <f>P760*E760</f>
        <v/>
      </c>
      <c r="R760" s="20" t="n"/>
    </row>
    <row r="761" ht="20" customHeight="1" s="1">
      <c r="A761" s="16" t="inlineStr">
        <is>
          <t>19862</t>
        </is>
      </c>
      <c r="B761" s="17" t="inlineStr">
        <is>
          <t>Morfose</t>
        </is>
      </c>
      <c r="C761" s="16" t="inlineStr">
        <is>
          <t>8680678823938</t>
        </is>
      </c>
      <c r="D761" s="17" t="inlineStr">
        <is>
          <t>Morfose Sac Boyasi 100ml 7.4 Bakir</t>
        </is>
      </c>
      <c r="E761" s="18" t="n">
        <v>6</v>
      </c>
      <c r="F761" s="18" t="n">
        <v>60</v>
      </c>
      <c r="G761" s="18" t="n">
        <v>20</v>
      </c>
      <c r="H761" s="18" t="n"/>
      <c r="I761" s="18" t="n"/>
      <c r="J761" s="18" t="n"/>
      <c r="K761" s="19">
        <f>H761+I761+J761</f>
        <v/>
      </c>
      <c r="L761" s="19">
        <f>K761-G761</f>
        <v/>
      </c>
      <c r="M761" s="20">
        <f>L761*E761</f>
        <v/>
      </c>
      <c r="N761" s="20" t="n">
        <v>50</v>
      </c>
      <c r="O761" s="20" t="n"/>
      <c r="P761" s="20">
        <f>O761-N761</f>
        <v/>
      </c>
      <c r="Q761" s="20">
        <f>P761*E761</f>
        <v/>
      </c>
      <c r="R761" s="20" t="n"/>
    </row>
    <row r="762" ht="20" customHeight="1" s="1">
      <c r="A762" s="21" t="inlineStr">
        <is>
          <t>19863</t>
        </is>
      </c>
      <c r="B762" s="22" t="inlineStr">
        <is>
          <t>Morfose</t>
        </is>
      </c>
      <c r="C762" s="21" t="inlineStr">
        <is>
          <t>8680678823945</t>
        </is>
      </c>
      <c r="D762" s="22" t="inlineStr">
        <is>
          <t>Morfose Sac Boyasi 100ml 7.44 Yogun Bakir</t>
        </is>
      </c>
      <c r="E762" s="23" t="n">
        <v>6</v>
      </c>
      <c r="F762" s="23" t="n">
        <v>60</v>
      </c>
      <c r="G762" s="23" t="n">
        <v>22</v>
      </c>
      <c r="H762" s="23" t="n"/>
      <c r="I762" s="23" t="n"/>
      <c r="J762" s="23" t="n"/>
      <c r="K762" s="19">
        <f>H762+I762+J762</f>
        <v/>
      </c>
      <c r="L762" s="19">
        <f>K762-G762</f>
        <v/>
      </c>
      <c r="M762" s="20">
        <f>L762*E762</f>
        <v/>
      </c>
      <c r="N762" s="20" t="n">
        <v>50</v>
      </c>
      <c r="O762" s="20" t="n"/>
      <c r="P762" s="20">
        <f>O762-N762</f>
        <v/>
      </c>
      <c r="Q762" s="20">
        <f>P762*E762</f>
        <v/>
      </c>
      <c r="R762" s="20" t="n"/>
    </row>
    <row r="763" ht="20" customHeight="1" s="1">
      <c r="A763" s="16" t="inlineStr">
        <is>
          <t>19864</t>
        </is>
      </c>
      <c r="B763" s="17" t="inlineStr">
        <is>
          <t>Morfose</t>
        </is>
      </c>
      <c r="C763" s="16" t="inlineStr">
        <is>
          <t>8680678823976</t>
        </is>
      </c>
      <c r="D763" s="17" t="inlineStr">
        <is>
          <t>Morfose Sac Boyasi 100ml 7.6 Ates Kizili</t>
        </is>
      </c>
      <c r="E763" s="18" t="n">
        <v>6</v>
      </c>
      <c r="F763" s="18" t="n">
        <v>60</v>
      </c>
      <c r="G763" s="18" t="n">
        <v>18</v>
      </c>
      <c r="H763" s="18" t="n"/>
      <c r="I763" s="18" t="n"/>
      <c r="J763" s="18" t="n"/>
      <c r="K763" s="19">
        <f>H763+I763+J763</f>
        <v/>
      </c>
      <c r="L763" s="19">
        <f>K763-G763</f>
        <v/>
      </c>
      <c r="M763" s="20">
        <f>L763*E763</f>
        <v/>
      </c>
      <c r="N763" s="20" t="n">
        <v>50</v>
      </c>
      <c r="O763" s="20" t="n"/>
      <c r="P763" s="20">
        <f>O763-N763</f>
        <v/>
      </c>
      <c r="Q763" s="20">
        <f>P763*E763</f>
        <v/>
      </c>
      <c r="R763" s="20" t="n"/>
    </row>
    <row r="764" ht="20" customHeight="1" s="1">
      <c r="A764" s="21" t="inlineStr">
        <is>
          <t>19865</t>
        </is>
      </c>
      <c r="B764" s="22" t="inlineStr">
        <is>
          <t>Morfose</t>
        </is>
      </c>
      <c r="C764" s="21" t="inlineStr">
        <is>
          <t>8680678823990</t>
        </is>
      </c>
      <c r="D764" s="22" t="inlineStr">
        <is>
          <t>Morfose Sac Boyasi 100ml 7.65 Kontrast Ask Alevi</t>
        </is>
      </c>
      <c r="E764" s="23" t="n">
        <v>6</v>
      </c>
      <c r="F764" s="23" t="n">
        <v>60</v>
      </c>
      <c r="G764" s="23" t="n">
        <v>9</v>
      </c>
      <c r="H764" s="23" t="n"/>
      <c r="I764" s="23" t="n"/>
      <c r="J764" s="23" t="n"/>
      <c r="K764" s="19">
        <f>H764+I764+J764</f>
        <v/>
      </c>
      <c r="L764" s="19">
        <f>K764-G764</f>
        <v/>
      </c>
      <c r="M764" s="20">
        <f>L764*E764</f>
        <v/>
      </c>
      <c r="N764" s="20" t="n">
        <v>50</v>
      </c>
      <c r="O764" s="20" t="n"/>
      <c r="P764" s="20">
        <f>O764-N764</f>
        <v/>
      </c>
      <c r="Q764" s="20">
        <f>P764*E764</f>
        <v/>
      </c>
      <c r="R764" s="20" t="n"/>
    </row>
    <row r="765" ht="20" customHeight="1" s="1">
      <c r="A765" s="16" t="inlineStr">
        <is>
          <t>19870</t>
        </is>
      </c>
      <c r="B765" s="17" t="inlineStr">
        <is>
          <t>Morfose</t>
        </is>
      </c>
      <c r="C765" s="16" t="inlineStr">
        <is>
          <t>8681701008094</t>
        </is>
      </c>
      <c r="D765" s="17" t="inlineStr">
        <is>
          <t>Morfose Sac Boyasi 100ml 7.71 Dogal Kullu Kahve</t>
        </is>
      </c>
      <c r="E765" s="18" t="n">
        <v>6</v>
      </c>
      <c r="F765" s="18" t="n">
        <v>60</v>
      </c>
      <c r="G765" s="18" t="n">
        <v>8</v>
      </c>
      <c r="H765" s="18" t="n"/>
      <c r="I765" s="18" t="n"/>
      <c r="J765" s="18" t="n"/>
      <c r="K765" s="19" t="n"/>
      <c r="L765" s="19" t="n"/>
      <c r="M765" s="20" t="n"/>
      <c r="N765" s="20" t="n">
        <v>50</v>
      </c>
      <c r="O765" s="20" t="n"/>
      <c r="P765" s="20">
        <f>O765-N765</f>
        <v/>
      </c>
      <c r="Q765" s="20">
        <f>P765*E765</f>
        <v/>
      </c>
      <c r="R765" s="20" t="n"/>
    </row>
    <row r="766" ht="20" customHeight="1" s="1">
      <c r="A766" s="21" t="inlineStr">
        <is>
          <t>19871</t>
        </is>
      </c>
      <c r="B766" s="22" t="inlineStr">
        <is>
          <t>Morfose</t>
        </is>
      </c>
      <c r="C766" s="21" t="inlineStr">
        <is>
          <t>8681701008117</t>
        </is>
      </c>
      <c r="D766" s="22" t="inlineStr">
        <is>
          <t>Morfose Sac Boyasi 100ml 7.72 Kumral Kahve Irize</t>
        </is>
      </c>
      <c r="E766" s="23" t="n">
        <v>6</v>
      </c>
      <c r="F766" s="23" t="n">
        <v>60</v>
      </c>
      <c r="G766" s="23" t="n">
        <v>28</v>
      </c>
      <c r="H766" s="23" t="n"/>
      <c r="I766" s="23" t="n"/>
      <c r="J766" s="23" t="n"/>
      <c r="K766" s="19">
        <f>H766+I766+J766</f>
        <v/>
      </c>
      <c r="L766" s="19">
        <f>K766-G766</f>
        <v/>
      </c>
      <c r="M766" s="20">
        <f>L766*E766</f>
        <v/>
      </c>
      <c r="N766" s="20" t="n">
        <v>50</v>
      </c>
      <c r="O766" s="20" t="n"/>
      <c r="P766" s="20">
        <f>O766-N766</f>
        <v/>
      </c>
      <c r="Q766" s="20">
        <f>P766*E766</f>
        <v/>
      </c>
      <c r="R766" s="20" t="n"/>
    </row>
    <row r="767" ht="20" customHeight="1" s="1">
      <c r="A767" s="16" t="inlineStr">
        <is>
          <t>19866</t>
        </is>
      </c>
      <c r="B767" s="17" t="inlineStr">
        <is>
          <t>Morfose</t>
        </is>
      </c>
      <c r="C767" s="16" t="inlineStr">
        <is>
          <t>8680678823730</t>
        </is>
      </c>
      <c r="D767" s="17" t="inlineStr">
        <is>
          <t>Morfose Sac Boyasi 100ml 7.73 Kapucino Kahve</t>
        </is>
      </c>
      <c r="E767" s="18" t="n">
        <v>6</v>
      </c>
      <c r="F767" s="18" t="n">
        <v>60</v>
      </c>
      <c r="G767" s="18" t="n">
        <v>25</v>
      </c>
      <c r="H767" s="18" t="n"/>
      <c r="I767" s="18" t="n"/>
      <c r="J767" s="18" t="n"/>
      <c r="K767" s="19">
        <f>H767+I767+J767</f>
        <v/>
      </c>
      <c r="L767" s="19">
        <f>K767-G767</f>
        <v/>
      </c>
      <c r="M767" s="20">
        <f>L767*E767</f>
        <v/>
      </c>
      <c r="N767" s="20" t="n">
        <v>50</v>
      </c>
      <c r="O767" s="20" t="n"/>
      <c r="P767" s="20">
        <f>O767-N767</f>
        <v/>
      </c>
      <c r="Q767" s="20">
        <f>P767*E767</f>
        <v/>
      </c>
      <c r="R767" s="20" t="n"/>
    </row>
    <row r="768" ht="20" customHeight="1" s="1">
      <c r="A768" s="21" t="inlineStr">
        <is>
          <t>19867</t>
        </is>
      </c>
      <c r="B768" s="22" t="inlineStr">
        <is>
          <t>Morfose</t>
        </is>
      </c>
      <c r="C768" s="21" t="inlineStr">
        <is>
          <t>8680678823761</t>
        </is>
      </c>
      <c r="D768" s="22" t="inlineStr">
        <is>
          <t>Morfose Sac Boyasi 100ml 7.74 Sicak Kakao</t>
        </is>
      </c>
      <c r="E768" s="23" t="n">
        <v>6</v>
      </c>
      <c r="F768" s="23" t="n">
        <v>60</v>
      </c>
      <c r="G768" s="23" t="n">
        <v>3</v>
      </c>
      <c r="H768" s="23" t="n"/>
      <c r="I768" s="23" t="n"/>
      <c r="J768" s="23" t="n"/>
      <c r="K768" s="19" t="n"/>
      <c r="L768" s="19" t="n"/>
      <c r="M768" s="20" t="n"/>
      <c r="N768" s="20" t="n">
        <v>50</v>
      </c>
      <c r="O768" s="20" t="n"/>
      <c r="P768" s="20">
        <f>O768-N768</f>
        <v/>
      </c>
      <c r="Q768" s="20">
        <f>P768*E768</f>
        <v/>
      </c>
      <c r="R768" s="20" t="n"/>
    </row>
    <row r="769" ht="20" customHeight="1" s="1">
      <c r="A769" s="16" t="inlineStr">
        <is>
          <t>19868</t>
        </is>
      </c>
      <c r="B769" s="17" t="inlineStr">
        <is>
          <t>Morfose</t>
        </is>
      </c>
      <c r="C769" s="16" t="inlineStr">
        <is>
          <t>8680678823709</t>
        </is>
      </c>
      <c r="D769" s="17" t="inlineStr">
        <is>
          <t>Morfose Sac Boyasi 100ml 7.77 Sicak Karamel Kahve</t>
        </is>
      </c>
      <c r="E769" s="18" t="n">
        <v>6</v>
      </c>
      <c r="F769" s="18" t="n">
        <v>60</v>
      </c>
      <c r="G769" s="18" t="n">
        <v>6</v>
      </c>
      <c r="H769" s="18" t="n"/>
      <c r="I769" s="18" t="n"/>
      <c r="J769" s="18" t="n"/>
      <c r="K769" s="19" t="n"/>
      <c r="L769" s="19" t="n"/>
      <c r="M769" s="20" t="n"/>
      <c r="N769" s="20" t="n">
        <v>50</v>
      </c>
      <c r="O769" s="20" t="n"/>
      <c r="P769" s="20">
        <f>O769-N769</f>
        <v/>
      </c>
      <c r="Q769" s="20">
        <f>P769*E769</f>
        <v/>
      </c>
      <c r="R769" s="20" t="n"/>
    </row>
    <row r="770" ht="20" customHeight="1" s="1">
      <c r="A770" s="21" t="inlineStr">
        <is>
          <t>19869</t>
        </is>
      </c>
      <c r="B770" s="22" t="inlineStr">
        <is>
          <t>Morfose</t>
        </is>
      </c>
      <c r="C770" s="21" t="inlineStr">
        <is>
          <t>8680678831216</t>
        </is>
      </c>
      <c r="D770" s="22" t="inlineStr">
        <is>
          <t>Morfose Sac Boyasi 100ml 7S Yogun Kumral</t>
        </is>
      </c>
      <c r="E770" s="23" t="n">
        <v>6</v>
      </c>
      <c r="F770" s="23" t="n">
        <v>60</v>
      </c>
      <c r="G770" s="23" t="n">
        <v>0</v>
      </c>
      <c r="H770" s="23" t="n"/>
      <c r="I770" s="23" t="n"/>
      <c r="J770" s="23" t="n"/>
      <c r="K770" s="19">
        <f>H770+I770+J770</f>
        <v/>
      </c>
      <c r="L770" s="19">
        <f>K770-G770</f>
        <v/>
      </c>
      <c r="M770" s="20">
        <f>L770*E770</f>
        <v/>
      </c>
      <c r="N770" s="20" t="n">
        <v>50</v>
      </c>
      <c r="O770" s="20" t="n"/>
      <c r="P770" s="20">
        <f>O770-N770</f>
        <v/>
      </c>
      <c r="Q770" s="20">
        <f>P770*E770</f>
        <v/>
      </c>
      <c r="R770" s="20" t="n"/>
    </row>
    <row r="771" ht="20" customHeight="1" s="1">
      <c r="A771" s="16" t="inlineStr">
        <is>
          <t>19874</t>
        </is>
      </c>
      <c r="B771" s="17" t="inlineStr">
        <is>
          <t>Morfose</t>
        </is>
      </c>
      <c r="C771" s="16" t="inlineStr">
        <is>
          <t>8680678823600</t>
        </is>
      </c>
      <c r="D771" s="17" t="inlineStr">
        <is>
          <t>Morfose Sac Boyasi 100ml 8 Acik Kumral</t>
        </is>
      </c>
      <c r="E771" s="18" t="n">
        <v>6</v>
      </c>
      <c r="F771" s="18" t="n">
        <v>60</v>
      </c>
      <c r="G771" s="18" t="n">
        <v>23</v>
      </c>
      <c r="H771" s="18" t="n"/>
      <c r="I771" s="18" t="n"/>
      <c r="J771" s="18" t="n"/>
      <c r="K771" s="19">
        <f>H771+I771+J771</f>
        <v/>
      </c>
      <c r="L771" s="19">
        <f>K771-G771</f>
        <v/>
      </c>
      <c r="M771" s="20">
        <f>L771*E771</f>
        <v/>
      </c>
      <c r="N771" s="20" t="n">
        <v>50</v>
      </c>
      <c r="O771" s="20" t="n"/>
      <c r="P771" s="20">
        <f>O771-N771</f>
        <v/>
      </c>
      <c r="Q771" s="20">
        <f>P771*E771</f>
        <v/>
      </c>
      <c r="R771" s="20" t="n"/>
    </row>
    <row r="772" ht="20" customHeight="1" s="1">
      <c r="A772" s="21" t="inlineStr">
        <is>
          <t>19875</t>
        </is>
      </c>
      <c r="B772" s="22" t="inlineStr">
        <is>
          <t>Morfose</t>
        </is>
      </c>
      <c r="C772" s="21" t="inlineStr">
        <is>
          <t>8681701002603</t>
        </is>
      </c>
      <c r="D772" s="22" t="inlineStr">
        <is>
          <t>Morfose Sac Boyasi 100ml 8.1 Acik Kullu Kumral</t>
        </is>
      </c>
      <c r="E772" s="23" t="n">
        <v>6</v>
      </c>
      <c r="F772" s="23" t="n">
        <v>60</v>
      </c>
      <c r="G772" s="23" t="n">
        <v>36</v>
      </c>
      <c r="H772" s="23" t="n"/>
      <c r="I772" s="23" t="n"/>
      <c r="J772" s="23" t="n"/>
      <c r="K772" s="19">
        <f>H772+I772+J772</f>
        <v/>
      </c>
      <c r="L772" s="19">
        <f>K772-G772</f>
        <v/>
      </c>
      <c r="M772" s="20">
        <f>L772*E772</f>
        <v/>
      </c>
      <c r="N772" s="20" t="n">
        <v>50</v>
      </c>
      <c r="O772" s="20" t="n"/>
      <c r="P772" s="20">
        <f>O772-N772</f>
        <v/>
      </c>
      <c r="Q772" s="20">
        <f>P772*E772</f>
        <v/>
      </c>
      <c r="R772" s="20" t="n"/>
    </row>
    <row r="773" ht="20" customHeight="1" s="1">
      <c r="A773" s="16" t="inlineStr">
        <is>
          <t>19876</t>
        </is>
      </c>
      <c r="B773" s="17" t="inlineStr">
        <is>
          <t>Morfose</t>
        </is>
      </c>
      <c r="C773" s="16" t="inlineStr">
        <is>
          <t>8680678823792</t>
        </is>
      </c>
      <c r="D773" s="17" t="inlineStr">
        <is>
          <t>Morfose Sac Boyasi 100ml 8.11 Yogun Acik Kullu Kumral</t>
        </is>
      </c>
      <c r="E773" s="18" t="n">
        <v>6</v>
      </c>
      <c r="F773" s="18" t="n">
        <v>60</v>
      </c>
      <c r="G773" s="18" t="n">
        <v>32</v>
      </c>
      <c r="H773" s="18" t="n"/>
      <c r="I773" s="18" t="n"/>
      <c r="J773" s="18" t="n"/>
      <c r="K773" s="19">
        <f>H773+I773+J773</f>
        <v/>
      </c>
      <c r="L773" s="19">
        <f>K773-G773</f>
        <v/>
      </c>
      <c r="M773" s="20">
        <f>L773*E773</f>
        <v/>
      </c>
      <c r="N773" s="20" t="n">
        <v>50</v>
      </c>
      <c r="O773" s="20" t="n"/>
      <c r="P773" s="20">
        <f>O773-N773</f>
        <v/>
      </c>
      <c r="Q773" s="20">
        <f>P773*E773</f>
        <v/>
      </c>
      <c r="R773" s="20" t="n"/>
    </row>
    <row r="774" ht="20" customHeight="1" s="1">
      <c r="A774" s="21" t="inlineStr">
        <is>
          <t>19877</t>
        </is>
      </c>
      <c r="B774" s="22" t="inlineStr">
        <is>
          <t>Morfose</t>
        </is>
      </c>
      <c r="C774" s="21" t="inlineStr">
        <is>
          <t>8681701005376</t>
        </is>
      </c>
      <c r="D774" s="22" t="inlineStr">
        <is>
          <t>Morfose Sac Boyasi 100ml 8.111 Ekstra Mat Acik Kullu Kumral</t>
        </is>
      </c>
      <c r="E774" s="23" t="n">
        <v>6</v>
      </c>
      <c r="F774" s="23" t="n">
        <v>60</v>
      </c>
      <c r="G774" s="23" t="n">
        <v>39</v>
      </c>
      <c r="H774" s="23" t="n"/>
      <c r="I774" s="23" t="n"/>
      <c r="J774" s="23" t="n"/>
      <c r="K774" s="19" t="n"/>
      <c r="L774" s="19" t="n"/>
      <c r="M774" s="20" t="n"/>
      <c r="N774" s="20" t="n">
        <v>50</v>
      </c>
      <c r="O774" s="20" t="n"/>
      <c r="P774" s="20">
        <f>O774-N774</f>
        <v/>
      </c>
      <c r="Q774" s="20">
        <f>P774*E774</f>
        <v/>
      </c>
      <c r="R774" s="20" t="n"/>
    </row>
    <row r="775" ht="20" customHeight="1" s="1">
      <c r="A775" s="16" t="inlineStr">
        <is>
          <t>19890</t>
        </is>
      </c>
      <c r="B775" s="17" t="inlineStr">
        <is>
          <t>Morfose</t>
        </is>
      </c>
      <c r="C775" s="16" t="inlineStr">
        <is>
          <t>8681701008155</t>
        </is>
      </c>
      <c r="D775" s="17" t="inlineStr">
        <is>
          <t>Morfose Sac Boyasi 100ml 8.12 Acik Kumral Kullu Irize</t>
        </is>
      </c>
      <c r="E775" s="18" t="n">
        <v>6</v>
      </c>
      <c r="F775" s="18" t="n">
        <v>60</v>
      </c>
      <c r="G775" s="18" t="n">
        <v>0</v>
      </c>
      <c r="H775" s="18" t="n"/>
      <c r="I775" s="18" t="n"/>
      <c r="J775" s="18" t="n"/>
      <c r="K775" s="19">
        <f>H775+I775+J775</f>
        <v/>
      </c>
      <c r="L775" s="19">
        <f>K775-G775</f>
        <v/>
      </c>
      <c r="M775" s="20">
        <f>L775*E775</f>
        <v/>
      </c>
      <c r="N775" s="20" t="n">
        <v>50</v>
      </c>
      <c r="O775" s="20" t="n"/>
      <c r="P775" s="20">
        <f>O775-N775</f>
        <v/>
      </c>
      <c r="Q775" s="20">
        <f>P775*E775</f>
        <v/>
      </c>
      <c r="R775" s="20" t="n"/>
    </row>
    <row r="776" ht="20" customHeight="1" s="1">
      <c r="A776" s="21" t="inlineStr">
        <is>
          <t>19891</t>
        </is>
      </c>
      <c r="B776" s="22" t="inlineStr">
        <is>
          <t>Morfose</t>
        </is>
      </c>
      <c r="C776" s="21" t="inlineStr">
        <is>
          <t>8681701008186</t>
        </is>
      </c>
      <c r="D776" s="22" t="inlineStr">
        <is>
          <t>Morfose Sac Boyasi 100ml 8.21 Yogun Irize Kullu</t>
        </is>
      </c>
      <c r="E776" s="23" t="n">
        <v>6</v>
      </c>
      <c r="F776" s="23" t="n">
        <v>60</v>
      </c>
      <c r="G776" s="23" t="n">
        <v>6</v>
      </c>
      <c r="H776" s="23" t="n"/>
      <c r="I776" s="23" t="n"/>
      <c r="J776" s="23" t="n"/>
      <c r="K776" s="19" t="n"/>
      <c r="L776" s="19" t="n"/>
      <c r="M776" s="20" t="n"/>
      <c r="N776" s="20" t="n">
        <v>50</v>
      </c>
      <c r="O776" s="20" t="n"/>
      <c r="P776" s="20">
        <f>O776-N776</f>
        <v/>
      </c>
      <c r="Q776" s="20">
        <f>P776*E776</f>
        <v/>
      </c>
      <c r="R776" s="20" t="n"/>
    </row>
    <row r="777" ht="20" customHeight="1" s="1">
      <c r="A777" s="16" t="inlineStr">
        <is>
          <t>19878</t>
        </is>
      </c>
      <c r="B777" s="17" t="inlineStr">
        <is>
          <t>Morfose</t>
        </is>
      </c>
      <c r="C777" s="16" t="inlineStr">
        <is>
          <t>8680678823853</t>
        </is>
      </c>
      <c r="D777" s="17" t="inlineStr">
        <is>
          <t>Morfose Sac Boyasi 100ml 8.3 Acik Kumral Dore</t>
        </is>
      </c>
      <c r="E777" s="18" t="n">
        <v>6</v>
      </c>
      <c r="F777" s="18" t="n">
        <v>60</v>
      </c>
      <c r="G777" s="18" t="n">
        <v>16</v>
      </c>
      <c r="H777" s="18" t="n"/>
      <c r="I777" s="18" t="n"/>
      <c r="J777" s="18" t="n"/>
      <c r="K777" s="19">
        <f>H777+I777+J777</f>
        <v/>
      </c>
      <c r="L777" s="19">
        <f>K777-G777</f>
        <v/>
      </c>
      <c r="M777" s="20">
        <f>L777*E777</f>
        <v/>
      </c>
      <c r="N777" s="20" t="n">
        <v>50</v>
      </c>
      <c r="O777" s="20" t="n"/>
      <c r="P777" s="20">
        <f>O777-N777</f>
        <v/>
      </c>
      <c r="Q777" s="20">
        <f>P777*E777</f>
        <v/>
      </c>
      <c r="R777" s="20" t="n"/>
    </row>
    <row r="778" ht="20" customHeight="1" s="1">
      <c r="A778" s="21" t="inlineStr">
        <is>
          <t>19879</t>
        </is>
      </c>
      <c r="B778" s="22" t="inlineStr">
        <is>
          <t>Morfose</t>
        </is>
      </c>
      <c r="C778" s="21" t="inlineStr">
        <is>
          <t>8680678823914</t>
        </is>
      </c>
      <c r="D778" s="22" t="inlineStr">
        <is>
          <t>Morfose Sac Boyasi 100ml 8.34 Acik Bakir Kumral</t>
        </is>
      </c>
      <c r="E778" s="23" t="n">
        <v>6</v>
      </c>
      <c r="F778" s="23" t="n">
        <v>60</v>
      </c>
      <c r="G778" s="23" t="n">
        <v>26</v>
      </c>
      <c r="H778" s="23" t="n"/>
      <c r="I778" s="23" t="n"/>
      <c r="J778" s="23" t="n"/>
      <c r="K778" s="19">
        <f>H778+I778+J778</f>
        <v/>
      </c>
      <c r="L778" s="19">
        <f>K778-G778</f>
        <v/>
      </c>
      <c r="M778" s="20">
        <f>L778*E778</f>
        <v/>
      </c>
      <c r="N778" s="20" t="n">
        <v>50</v>
      </c>
      <c r="O778" s="20" t="n"/>
      <c r="P778" s="20">
        <f>O778-N778</f>
        <v/>
      </c>
      <c r="Q778" s="20">
        <f>P778*E778</f>
        <v/>
      </c>
      <c r="R778" s="20" t="n"/>
    </row>
    <row r="779" ht="20" customHeight="1" s="1">
      <c r="A779" s="16" t="inlineStr">
        <is>
          <t>19880</t>
        </is>
      </c>
      <c r="B779" s="17" t="inlineStr">
        <is>
          <t>Morfose</t>
        </is>
      </c>
      <c r="C779" s="16" t="inlineStr">
        <is>
          <t>8681701002689</t>
        </is>
      </c>
      <c r="D779" s="17" t="inlineStr">
        <is>
          <t>Morfose Sac Boyasi 100ml 8.35 Sicak Acik Cikolata Kahve</t>
        </is>
      </c>
      <c r="E779" s="18" t="n">
        <v>6</v>
      </c>
      <c r="F779" s="18" t="n">
        <v>60</v>
      </c>
      <c r="G779" s="18" t="n">
        <v>20</v>
      </c>
      <c r="H779" s="18" t="n"/>
      <c r="I779" s="18" t="n"/>
      <c r="J779" s="18" t="n"/>
      <c r="K779" s="19">
        <f>H779+I779+J779</f>
        <v/>
      </c>
      <c r="L779" s="19">
        <f>K779-G779</f>
        <v/>
      </c>
      <c r="M779" s="20">
        <f>L779*E779</f>
        <v/>
      </c>
      <c r="N779" s="20" t="n">
        <v>50</v>
      </c>
      <c r="O779" s="20" t="n"/>
      <c r="P779" s="20">
        <f>O779-N779</f>
        <v/>
      </c>
      <c r="Q779" s="20">
        <f>P779*E779</f>
        <v/>
      </c>
      <c r="R779" s="20" t="n"/>
    </row>
    <row r="780" ht="20" customHeight="1" s="1">
      <c r="A780" s="21" t="inlineStr">
        <is>
          <t>19881</t>
        </is>
      </c>
      <c r="B780" s="22" t="inlineStr">
        <is>
          <t>Morfose</t>
        </is>
      </c>
      <c r="C780" s="21" t="inlineStr">
        <is>
          <t>8681701002665</t>
        </is>
      </c>
      <c r="D780" s="22" t="inlineStr">
        <is>
          <t>Morfose Sac Boyasi 100ml 8.4 Acik Bakir</t>
        </is>
      </c>
      <c r="E780" s="23" t="n">
        <v>6</v>
      </c>
      <c r="F780" s="23" t="n">
        <v>60</v>
      </c>
      <c r="G780" s="23" t="n">
        <v>17</v>
      </c>
      <c r="H780" s="23" t="n"/>
      <c r="I780" s="23" t="n"/>
      <c r="J780" s="23" t="n"/>
      <c r="K780" s="19">
        <f>H780+I780+J780</f>
        <v/>
      </c>
      <c r="L780" s="19">
        <f>K780-G780</f>
        <v/>
      </c>
      <c r="M780" s="20">
        <f>L780*E780</f>
        <v/>
      </c>
      <c r="N780" s="20" t="n">
        <v>50</v>
      </c>
      <c r="O780" s="20" t="n"/>
      <c r="P780" s="20">
        <f>O780-N780</f>
        <v/>
      </c>
      <c r="Q780" s="20">
        <f>P780*E780</f>
        <v/>
      </c>
      <c r="R780" s="20" t="n"/>
    </row>
    <row r="781" ht="20" customHeight="1" s="1">
      <c r="A781" s="16" t="inlineStr">
        <is>
          <t>19882</t>
        </is>
      </c>
      <c r="B781" s="17" t="inlineStr">
        <is>
          <t>Morfose</t>
        </is>
      </c>
      <c r="C781" s="16" t="inlineStr">
        <is>
          <t>8681701002757</t>
        </is>
      </c>
      <c r="D781" s="17" t="inlineStr">
        <is>
          <t>Morfose Sac Boyasi 100ml 8.44 Acik Yogun Bakir</t>
        </is>
      </c>
      <c r="E781" s="18" t="n">
        <v>6</v>
      </c>
      <c r="F781" s="18" t="n">
        <v>60</v>
      </c>
      <c r="G781" s="18" t="n">
        <v>16</v>
      </c>
      <c r="H781" s="18" t="n"/>
      <c r="I781" s="18" t="n"/>
      <c r="J781" s="18" t="n"/>
      <c r="K781" s="19">
        <f>H781+I781+J781</f>
        <v/>
      </c>
      <c r="L781" s="19">
        <f>K781-G781</f>
        <v/>
      </c>
      <c r="M781" s="20">
        <f>L781*E781</f>
        <v/>
      </c>
      <c r="N781" s="20" t="n">
        <v>50</v>
      </c>
      <c r="O781" s="20" t="n"/>
      <c r="P781" s="20">
        <f>O781-N781</f>
        <v/>
      </c>
      <c r="Q781" s="20">
        <f>P781*E781</f>
        <v/>
      </c>
      <c r="R781" s="20" t="n"/>
    </row>
    <row r="782" ht="20" customHeight="1" s="1">
      <c r="A782" s="21" t="inlineStr">
        <is>
          <t>19883</t>
        </is>
      </c>
      <c r="B782" s="22" t="inlineStr">
        <is>
          <t>Morfose</t>
        </is>
      </c>
      <c r="C782" s="21" t="inlineStr">
        <is>
          <t>8680678824003</t>
        </is>
      </c>
      <c r="D782" s="22" t="inlineStr">
        <is>
          <t>Morfose Sac Boyasi 100ml 8.66 Lal</t>
        </is>
      </c>
      <c r="E782" s="23" t="n">
        <v>6</v>
      </c>
      <c r="F782" s="23" t="n">
        <v>60</v>
      </c>
      <c r="G782" s="23" t="n">
        <v>15</v>
      </c>
      <c r="H782" s="23" t="n"/>
      <c r="I782" s="23" t="n"/>
      <c r="J782" s="23" t="n"/>
      <c r="K782" s="19">
        <f>H782+I782+J782</f>
        <v/>
      </c>
      <c r="L782" s="19">
        <f>K782-G782</f>
        <v/>
      </c>
      <c r="M782" s="20">
        <f>L782*E782</f>
        <v/>
      </c>
      <c r="N782" s="20" t="n">
        <v>50</v>
      </c>
      <c r="O782" s="20" t="n"/>
      <c r="P782" s="20">
        <f>O782-N782</f>
        <v/>
      </c>
      <c r="Q782" s="20">
        <f>P782*E782</f>
        <v/>
      </c>
      <c r="R782" s="20" t="n"/>
    </row>
    <row r="783" ht="20" customHeight="1" s="1">
      <c r="A783" s="16" t="inlineStr">
        <is>
          <t>19888</t>
        </is>
      </c>
      <c r="B783" s="17" t="inlineStr">
        <is>
          <t>Morfose</t>
        </is>
      </c>
      <c r="C783" s="16" t="inlineStr">
        <is>
          <t>8681701008100</t>
        </is>
      </c>
      <c r="D783" s="17" t="inlineStr">
        <is>
          <t>Morfose Sac Boyasi 100ml 8.71 Acik Kullu Kahve</t>
        </is>
      </c>
      <c r="E783" s="18" t="n">
        <v>6</v>
      </c>
      <c r="F783" s="18" t="n">
        <v>60</v>
      </c>
      <c r="G783" s="18" t="n">
        <v>1</v>
      </c>
      <c r="H783" s="18" t="n"/>
      <c r="I783" s="18" t="n"/>
      <c r="J783" s="18" t="n"/>
      <c r="K783" s="19" t="n"/>
      <c r="L783" s="19" t="n"/>
      <c r="M783" s="20" t="n"/>
      <c r="N783" s="20" t="n">
        <v>50</v>
      </c>
      <c r="O783" s="20" t="n"/>
      <c r="P783" s="20">
        <f>O783-N783</f>
        <v/>
      </c>
      <c r="Q783" s="20">
        <f>P783*E783</f>
        <v/>
      </c>
      <c r="R783" s="20" t="n"/>
    </row>
    <row r="784" ht="20" customHeight="1" s="1">
      <c r="A784" s="21" t="inlineStr">
        <is>
          <t>19889</t>
        </is>
      </c>
      <c r="B784" s="22" t="inlineStr">
        <is>
          <t>Morfose</t>
        </is>
      </c>
      <c r="C784" s="21" t="inlineStr">
        <is>
          <t>8681701008124</t>
        </is>
      </c>
      <c r="D784" s="22" t="inlineStr">
        <is>
          <t>Morfose Sac Boyasi 100ml 8.72 Acik Kumral Kahve Irize</t>
        </is>
      </c>
      <c r="E784" s="23" t="n">
        <v>6</v>
      </c>
      <c r="F784" s="23" t="n">
        <v>60</v>
      </c>
      <c r="G784" s="23" t="n">
        <v>39</v>
      </c>
      <c r="H784" s="23" t="n"/>
      <c r="I784" s="23" t="n"/>
      <c r="J784" s="23" t="n"/>
      <c r="K784" s="19" t="n"/>
      <c r="L784" s="19" t="n"/>
      <c r="M784" s="20" t="n"/>
      <c r="N784" s="20" t="n">
        <v>50</v>
      </c>
      <c r="O784" s="20" t="n"/>
      <c r="P784" s="20">
        <f>O784-N784</f>
        <v/>
      </c>
      <c r="Q784" s="20">
        <f>P784*E784</f>
        <v/>
      </c>
      <c r="R784" s="20" t="n"/>
    </row>
    <row r="785" ht="20" customHeight="1" s="1">
      <c r="A785" s="16" t="inlineStr">
        <is>
          <t>19884</t>
        </is>
      </c>
      <c r="B785" s="17" t="inlineStr">
        <is>
          <t>Morfose</t>
        </is>
      </c>
      <c r="C785" s="16" t="inlineStr">
        <is>
          <t>8680678823747</t>
        </is>
      </c>
      <c r="D785" s="17" t="inlineStr">
        <is>
          <t>Morfose Sac Boyasi 100ml 8.73 Sicak Kapucino Kahve</t>
        </is>
      </c>
      <c r="E785" s="18" t="n">
        <v>6</v>
      </c>
      <c r="F785" s="18" t="n">
        <v>60</v>
      </c>
      <c r="G785" s="18" t="n">
        <v>32</v>
      </c>
      <c r="H785" s="18" t="n"/>
      <c r="I785" s="18" t="n"/>
      <c r="J785" s="18" t="n"/>
      <c r="K785" s="19">
        <f>H785+I785+J785</f>
        <v/>
      </c>
      <c r="L785" s="19">
        <f>K785-G785</f>
        <v/>
      </c>
      <c r="M785" s="20">
        <f>L785*E785</f>
        <v/>
      </c>
      <c r="N785" s="20" t="n">
        <v>50</v>
      </c>
      <c r="O785" s="20" t="n"/>
      <c r="P785" s="20">
        <f>O785-N785</f>
        <v/>
      </c>
      <c r="Q785" s="20">
        <f>P785*E785</f>
        <v/>
      </c>
      <c r="R785" s="20" t="n"/>
    </row>
    <row r="786" ht="20" customHeight="1" s="1">
      <c r="A786" s="21" t="inlineStr">
        <is>
          <t>19885</t>
        </is>
      </c>
      <c r="B786" s="22" t="inlineStr">
        <is>
          <t>Morfose</t>
        </is>
      </c>
      <c r="C786" s="21" t="inlineStr">
        <is>
          <t>8681701002818</t>
        </is>
      </c>
      <c r="D786" s="22" t="inlineStr">
        <is>
          <t>Morfose Sac Boyasi 100ml 8.74 Moka Kahve</t>
        </is>
      </c>
      <c r="E786" s="23" t="n">
        <v>6</v>
      </c>
      <c r="F786" s="23" t="n">
        <v>60</v>
      </c>
      <c r="G786" s="23" t="n">
        <v>23</v>
      </c>
      <c r="H786" s="23" t="n"/>
      <c r="I786" s="23" t="n"/>
      <c r="J786" s="23" t="n"/>
      <c r="K786" s="19">
        <f>H786+I786+J786</f>
        <v/>
      </c>
      <c r="L786" s="19">
        <f>K786-G786</f>
        <v/>
      </c>
      <c r="M786" s="20">
        <f>L786*E786</f>
        <v/>
      </c>
      <c r="N786" s="20" t="n">
        <v>50</v>
      </c>
      <c r="O786" s="20" t="n"/>
      <c r="P786" s="20">
        <f>O786-N786</f>
        <v/>
      </c>
      <c r="Q786" s="20">
        <f>P786*E786</f>
        <v/>
      </c>
      <c r="R786" s="20" t="n"/>
    </row>
    <row r="787" ht="20" customHeight="1" s="1">
      <c r="A787" s="16" t="inlineStr">
        <is>
          <t>19886</t>
        </is>
      </c>
      <c r="B787" s="17" t="inlineStr">
        <is>
          <t>Morfose</t>
        </is>
      </c>
      <c r="C787" s="16" t="inlineStr">
        <is>
          <t>8680678823716</t>
        </is>
      </c>
      <c r="D787" s="17" t="inlineStr">
        <is>
          <t>Morfose Sac Boyasi 100ml 8.77 Bal Kopugu</t>
        </is>
      </c>
      <c r="E787" s="18" t="n">
        <v>6</v>
      </c>
      <c r="F787" s="18" t="n">
        <v>60</v>
      </c>
      <c r="G787" s="18" t="n">
        <v>9</v>
      </c>
      <c r="H787" s="18" t="n"/>
      <c r="I787" s="18" t="n"/>
      <c r="J787" s="18" t="n"/>
      <c r="K787" s="19">
        <f>H787+I787+J787</f>
        <v/>
      </c>
      <c r="L787" s="19">
        <f>K787-G787</f>
        <v/>
      </c>
      <c r="M787" s="20">
        <f>L787*E787</f>
        <v/>
      </c>
      <c r="N787" s="20" t="n">
        <v>50</v>
      </c>
      <c r="O787" s="20" t="n"/>
      <c r="P787" s="20">
        <f>O787-N787</f>
        <v/>
      </c>
      <c r="Q787" s="20">
        <f>P787*E787</f>
        <v/>
      </c>
      <c r="R787" s="20" t="n"/>
    </row>
    <row r="788" ht="20" customHeight="1" s="1">
      <c r="A788" s="21" t="inlineStr">
        <is>
          <t>19887</t>
        </is>
      </c>
      <c r="B788" s="22" t="inlineStr">
        <is>
          <t>Morfose</t>
        </is>
      </c>
      <c r="C788" s="21" t="inlineStr">
        <is>
          <t>8680678831223</t>
        </is>
      </c>
      <c r="D788" s="22" t="inlineStr">
        <is>
          <t>Morfose Sac Boyasi 100ml 8S Yumusak Acik Kumral</t>
        </is>
      </c>
      <c r="E788" s="23" t="n">
        <v>6</v>
      </c>
      <c r="F788" s="23" t="n">
        <v>60</v>
      </c>
      <c r="G788" s="23" t="n">
        <v>0</v>
      </c>
      <c r="H788" s="23" t="n"/>
      <c r="I788" s="23" t="n"/>
      <c r="J788" s="23" t="n"/>
      <c r="K788" s="19">
        <f>H788+I788+J788</f>
        <v/>
      </c>
      <c r="L788" s="19">
        <f>K788-G788</f>
        <v/>
      </c>
      <c r="M788" s="20">
        <f>L788*E788</f>
        <v/>
      </c>
      <c r="N788" s="20" t="n">
        <v>50</v>
      </c>
      <c r="O788" s="20" t="n"/>
      <c r="P788" s="20">
        <f>O788-N788</f>
        <v/>
      </c>
      <c r="Q788" s="20">
        <f>P788*E788</f>
        <v/>
      </c>
      <c r="R788" s="20" t="n"/>
    </row>
    <row r="789" ht="20" customHeight="1" s="1">
      <c r="A789" s="16" t="inlineStr">
        <is>
          <t>19892</t>
        </is>
      </c>
      <c r="B789" s="17" t="inlineStr">
        <is>
          <t>Morfose</t>
        </is>
      </c>
      <c r="C789" s="16" t="inlineStr">
        <is>
          <t>8680678823617</t>
        </is>
      </c>
      <c r="D789" s="17" t="inlineStr">
        <is>
          <t>Morfose Sac Boyasi 100ml 9 Acik Sari</t>
        </is>
      </c>
      <c r="E789" s="18" t="n">
        <v>6</v>
      </c>
      <c r="F789" s="18" t="n">
        <v>60</v>
      </c>
      <c r="G789" s="18" t="n">
        <v>19</v>
      </c>
      <c r="H789" s="18" t="n"/>
      <c r="I789" s="18" t="n"/>
      <c r="J789" s="18" t="n"/>
      <c r="K789" s="19" t="n"/>
      <c r="L789" s="19" t="n"/>
      <c r="M789" s="20" t="n"/>
      <c r="N789" s="20" t="n">
        <v>50</v>
      </c>
      <c r="O789" s="20" t="n"/>
      <c r="P789" s="20">
        <f>O789-N789</f>
        <v/>
      </c>
      <c r="Q789" s="20">
        <f>P789*E789</f>
        <v/>
      </c>
      <c r="R789" s="20" t="n"/>
    </row>
    <row r="790" ht="20" customHeight="1" s="1">
      <c r="A790" s="21" t="inlineStr">
        <is>
          <t>19893</t>
        </is>
      </c>
      <c r="B790" s="22" t="inlineStr">
        <is>
          <t>Morfose</t>
        </is>
      </c>
      <c r="C790" s="21" t="inlineStr">
        <is>
          <t>8681701002597</t>
        </is>
      </c>
      <c r="D790" s="22" t="inlineStr">
        <is>
          <t>Morfose Sac Boyasi 100ml 9.1 Ekstra Acik Kullu Kumral</t>
        </is>
      </c>
      <c r="E790" s="23" t="n">
        <v>6</v>
      </c>
      <c r="F790" s="23" t="n">
        <v>60</v>
      </c>
      <c r="G790" s="23" t="n">
        <v>26</v>
      </c>
      <c r="H790" s="23" t="n"/>
      <c r="I790" s="23" t="n"/>
      <c r="J790" s="23" t="n"/>
      <c r="K790" s="19">
        <f>H790+I790+J790</f>
        <v/>
      </c>
      <c r="L790" s="19">
        <f>K790-G790</f>
        <v/>
      </c>
      <c r="M790" s="20">
        <f>L790*E790</f>
        <v/>
      </c>
      <c r="N790" s="20" t="n">
        <v>50</v>
      </c>
      <c r="O790" s="20" t="n"/>
      <c r="P790" s="20">
        <f>O790-N790</f>
        <v/>
      </c>
      <c r="Q790" s="20">
        <f>P790*E790</f>
        <v/>
      </c>
      <c r="R790" s="20" t="n"/>
    </row>
    <row r="791" ht="20" customHeight="1" s="1">
      <c r="A791" s="16" t="inlineStr">
        <is>
          <t>19894</t>
        </is>
      </c>
      <c r="B791" s="17" t="inlineStr">
        <is>
          <t>Morfose</t>
        </is>
      </c>
      <c r="C791" s="16" t="inlineStr">
        <is>
          <t>8680678823808</t>
        </is>
      </c>
      <c r="D791" s="17" t="inlineStr">
        <is>
          <t>Morfose Sac Boyasi 100ml 9.11 Yogun Kullu Sari</t>
        </is>
      </c>
      <c r="E791" s="18" t="n">
        <v>6</v>
      </c>
      <c r="F791" s="18" t="n">
        <v>60</v>
      </c>
      <c r="G791" s="18" t="n">
        <v>25</v>
      </c>
      <c r="H791" s="18" t="n"/>
      <c r="I791" s="18" t="n"/>
      <c r="J791" s="18" t="n"/>
      <c r="K791" s="19">
        <f>H791+I791+J791</f>
        <v/>
      </c>
      <c r="L791" s="19">
        <f>K791-G791</f>
        <v/>
      </c>
      <c r="M791" s="20">
        <f>L791*E791</f>
        <v/>
      </c>
      <c r="N791" s="20" t="n">
        <v>50</v>
      </c>
      <c r="O791" s="20" t="n"/>
      <c r="P791" s="20">
        <f>O791-N791</f>
        <v/>
      </c>
      <c r="Q791" s="20">
        <f>P791*E791</f>
        <v/>
      </c>
      <c r="R791" s="20" t="n"/>
    </row>
    <row r="792" ht="20" customHeight="1" s="1">
      <c r="A792" s="21" t="inlineStr">
        <is>
          <t>19895</t>
        </is>
      </c>
      <c r="B792" s="22" t="inlineStr">
        <is>
          <t>Morfose</t>
        </is>
      </c>
      <c r="C792" s="21" t="inlineStr">
        <is>
          <t>8681701005383</t>
        </is>
      </c>
      <c r="D792" s="22" t="inlineStr">
        <is>
          <t>Morfose Sac Boyasi 100ml 9.111 Ekstra Mat Kullu Sari</t>
        </is>
      </c>
      <c r="E792" s="23" t="n">
        <v>6</v>
      </c>
      <c r="F792" s="23" t="n">
        <v>60</v>
      </c>
      <c r="G792" s="23" t="n">
        <v>18</v>
      </c>
      <c r="H792" s="23" t="n"/>
      <c r="I792" s="23" t="n"/>
      <c r="J792" s="23" t="n"/>
      <c r="K792" s="19">
        <f>H792+I792+J792</f>
        <v/>
      </c>
      <c r="L792" s="19">
        <f>K792-G792</f>
        <v/>
      </c>
      <c r="M792" s="20">
        <f>L792*E792</f>
        <v/>
      </c>
      <c r="N792" s="20" t="n">
        <v>50</v>
      </c>
      <c r="O792" s="20" t="n"/>
      <c r="P792" s="20">
        <f>O792-N792</f>
        <v/>
      </c>
      <c r="Q792" s="20">
        <f>P792*E792</f>
        <v/>
      </c>
      <c r="R792" s="20" t="n"/>
    </row>
    <row r="793" ht="20" customHeight="1" s="1">
      <c r="A793" s="16" t="inlineStr">
        <is>
          <t>19898</t>
        </is>
      </c>
      <c r="B793" s="17" t="inlineStr">
        <is>
          <t>Morfose</t>
        </is>
      </c>
      <c r="C793" s="16" t="inlineStr">
        <is>
          <t>8681701008162</t>
        </is>
      </c>
      <c r="D793" s="17" t="inlineStr">
        <is>
          <t>Morfose Sac Boyasi 100ml 9.12 Sari Kullu Irize</t>
        </is>
      </c>
      <c r="E793" s="18" t="n">
        <v>6</v>
      </c>
      <c r="F793" s="18" t="n">
        <v>60</v>
      </c>
      <c r="G793" s="18" t="n">
        <v>21</v>
      </c>
      <c r="H793" s="18" t="n"/>
      <c r="I793" s="18" t="n"/>
      <c r="J793" s="18" t="n"/>
      <c r="K793" s="19">
        <f>H793+I793+J793</f>
        <v/>
      </c>
      <c r="L793" s="19">
        <f>K793-G793</f>
        <v/>
      </c>
      <c r="M793" s="20">
        <f>L793*E793</f>
        <v/>
      </c>
      <c r="N793" s="20" t="n">
        <v>50</v>
      </c>
      <c r="O793" s="20" t="n"/>
      <c r="P793" s="20">
        <f>O793-N793</f>
        <v/>
      </c>
      <c r="Q793" s="20">
        <f>P793*E793</f>
        <v/>
      </c>
      <c r="R793" s="20" t="n"/>
    </row>
    <row r="794" ht="20" customHeight="1" s="1">
      <c r="A794" s="21" t="inlineStr">
        <is>
          <t>19899</t>
        </is>
      </c>
      <c r="B794" s="22" t="inlineStr">
        <is>
          <t>Morfose</t>
        </is>
      </c>
      <c r="C794" s="21" t="inlineStr">
        <is>
          <t>8681701008193</t>
        </is>
      </c>
      <c r="D794" s="22" t="inlineStr">
        <is>
          <t>Morfose Sac Boyasi 100ml 9.21 Yogun Acik Irize Kullu</t>
        </is>
      </c>
      <c r="E794" s="23" t="n">
        <v>6</v>
      </c>
      <c r="F794" s="23" t="n">
        <v>60</v>
      </c>
      <c r="G794" s="23" t="n">
        <v>28</v>
      </c>
      <c r="H794" s="23" t="n"/>
      <c r="I794" s="23" t="n"/>
      <c r="J794" s="23" t="n"/>
      <c r="K794" s="19">
        <f>H794+I794+J794</f>
        <v/>
      </c>
      <c r="L794" s="19">
        <f>K794-G794</f>
        <v/>
      </c>
      <c r="M794" s="20">
        <f>L794*E794</f>
        <v/>
      </c>
      <c r="N794" s="20" t="n">
        <v>50</v>
      </c>
      <c r="O794" s="20" t="n"/>
      <c r="P794" s="20">
        <f>O794-N794</f>
        <v/>
      </c>
      <c r="Q794" s="20">
        <f>P794*E794</f>
        <v/>
      </c>
      <c r="R794" s="20" t="n"/>
    </row>
    <row r="795" ht="20" customHeight="1" s="1">
      <c r="A795" s="16" t="inlineStr">
        <is>
          <t>19896</t>
        </is>
      </c>
      <c r="B795" s="17" t="inlineStr">
        <is>
          <t>Morfose</t>
        </is>
      </c>
      <c r="C795" s="16" t="inlineStr">
        <is>
          <t>8680678823860</t>
        </is>
      </c>
      <c r="D795" s="17" t="inlineStr">
        <is>
          <t>Morfose Sac Boyasi 100ml 9.3 Acik Sari Dore</t>
        </is>
      </c>
      <c r="E795" s="18" t="n">
        <v>6</v>
      </c>
      <c r="F795" s="18" t="n">
        <v>60</v>
      </c>
      <c r="G795" s="18" t="n">
        <v>23</v>
      </c>
      <c r="H795" s="18" t="n"/>
      <c r="I795" s="18" t="n"/>
      <c r="J795" s="18" t="n"/>
      <c r="K795" s="19">
        <f>H795+I795+J795</f>
        <v/>
      </c>
      <c r="L795" s="19">
        <f>K795-G795</f>
        <v/>
      </c>
      <c r="M795" s="20">
        <f>L795*E795</f>
        <v/>
      </c>
      <c r="N795" s="20" t="n">
        <v>50</v>
      </c>
      <c r="O795" s="20" t="n"/>
      <c r="P795" s="20">
        <f>O795-N795</f>
        <v/>
      </c>
      <c r="Q795" s="20">
        <f>P795*E795</f>
        <v/>
      </c>
      <c r="R795" s="20" t="n"/>
    </row>
    <row r="796" ht="20" customHeight="1" s="1">
      <c r="A796" s="21" t="inlineStr">
        <is>
          <t>19897</t>
        </is>
      </c>
      <c r="B796" s="22" t="inlineStr">
        <is>
          <t>Morfose</t>
        </is>
      </c>
      <c r="C796" s="21" t="inlineStr">
        <is>
          <t>8681701008131</t>
        </is>
      </c>
      <c r="D796" s="22" t="inlineStr">
        <is>
          <t>Morfose Sac Boyasi 100ml 9.72 Sari Kahve Irize</t>
        </is>
      </c>
      <c r="E796" s="23" t="n">
        <v>6</v>
      </c>
      <c r="F796" s="23" t="n">
        <v>60</v>
      </c>
      <c r="G796" s="23" t="n">
        <v>28</v>
      </c>
      <c r="H796" s="23" t="n"/>
      <c r="I796" s="23" t="n"/>
      <c r="J796" s="23" t="n"/>
      <c r="K796" s="19">
        <f>H796+I796+J796</f>
        <v/>
      </c>
      <c r="L796" s="19">
        <f>K796-G796</f>
        <v/>
      </c>
      <c r="M796" s="20">
        <f>L796*E796</f>
        <v/>
      </c>
      <c r="N796" s="20" t="n">
        <v>50</v>
      </c>
      <c r="O796" s="20" t="n"/>
      <c r="P796" s="20">
        <f>O796-N796</f>
        <v/>
      </c>
      <c r="Q796" s="20">
        <f>P796*E796</f>
        <v/>
      </c>
      <c r="R796" s="20" t="n"/>
    </row>
    <row r="797" ht="20" customHeight="1" s="1">
      <c r="A797" s="16" t="inlineStr">
        <is>
          <t>19900</t>
        </is>
      </c>
      <c r="B797" s="17" t="inlineStr">
        <is>
          <t>Morfose</t>
        </is>
      </c>
      <c r="C797" s="16" t="inlineStr">
        <is>
          <t>8680678823624</t>
        </is>
      </c>
      <c r="D797" s="17" t="inlineStr">
        <is>
          <t>Morfose Sac Boyasi 100ml 10 Platin Sari</t>
        </is>
      </c>
      <c r="E797" s="18" t="n">
        <v>6</v>
      </c>
      <c r="F797" s="18" t="n">
        <v>60</v>
      </c>
      <c r="G797" s="18" t="n">
        <v>12</v>
      </c>
      <c r="H797" s="18" t="n"/>
      <c r="I797" s="18" t="n"/>
      <c r="J797" s="18" t="n"/>
      <c r="K797" s="19">
        <f>H797+I797+J797</f>
        <v/>
      </c>
      <c r="L797" s="19">
        <f>K797-G797</f>
        <v/>
      </c>
      <c r="M797" s="20">
        <f>L797*E797</f>
        <v/>
      </c>
      <c r="N797" s="20" t="n">
        <v>50</v>
      </c>
      <c r="O797" s="20" t="n"/>
      <c r="P797" s="20">
        <f>O797-N797</f>
        <v/>
      </c>
      <c r="Q797" s="20">
        <f>P797*E797</f>
        <v/>
      </c>
      <c r="R797" s="20" t="n"/>
    </row>
    <row r="798" ht="20" customHeight="1" s="1">
      <c r="A798" s="21" t="inlineStr">
        <is>
          <t>19901</t>
        </is>
      </c>
      <c r="B798" s="22" t="inlineStr">
        <is>
          <t>Morfose</t>
        </is>
      </c>
      <c r="C798" s="21" t="inlineStr">
        <is>
          <t>8680678823877</t>
        </is>
      </c>
      <c r="D798" s="22" t="inlineStr">
        <is>
          <t>Morfose Sac Boyasi 100ml 10.3 Platin Sari Dore</t>
        </is>
      </c>
      <c r="E798" s="23" t="n">
        <v>6</v>
      </c>
      <c r="F798" s="23" t="n">
        <v>60</v>
      </c>
      <c r="G798" s="23" t="n">
        <v>57</v>
      </c>
      <c r="H798" s="23" t="n"/>
      <c r="I798" s="23" t="n"/>
      <c r="J798" s="23" t="n"/>
      <c r="K798" s="19">
        <f>H798+I798+J798</f>
        <v/>
      </c>
      <c r="L798" s="19">
        <f>K798-G798</f>
        <v/>
      </c>
      <c r="M798" s="20">
        <f>L798*E798</f>
        <v/>
      </c>
      <c r="N798" s="20" t="n">
        <v>50</v>
      </c>
      <c r="O798" s="20" t="n"/>
      <c r="P798" s="20">
        <f>O798-N798</f>
        <v/>
      </c>
      <c r="Q798" s="20">
        <f>P798*E798</f>
        <v/>
      </c>
      <c r="R798" s="20" t="n"/>
    </row>
    <row r="799" ht="20" customHeight="1" s="1">
      <c r="A799" s="16" t="inlineStr">
        <is>
          <t>19902</t>
        </is>
      </c>
      <c r="B799" s="17" t="inlineStr">
        <is>
          <t>Morfose</t>
        </is>
      </c>
      <c r="C799" s="16" t="inlineStr">
        <is>
          <t>8680678823815</t>
        </is>
      </c>
      <c r="D799" s="17" t="inlineStr">
        <is>
          <t>Morfose Sac Boyasi 100ml 11.11 Yogun Acik Kullu Sari</t>
        </is>
      </c>
      <c r="E799" s="18" t="n">
        <v>6</v>
      </c>
      <c r="F799" s="18" t="n">
        <v>60</v>
      </c>
      <c r="G799" s="18" t="n">
        <v>13</v>
      </c>
      <c r="H799" s="18" t="n"/>
      <c r="I799" s="18" t="n"/>
      <c r="J799" s="18" t="n"/>
      <c r="K799" s="19">
        <f>H799+I799+J799</f>
        <v/>
      </c>
      <c r="L799" s="19">
        <f>K799-G799</f>
        <v/>
      </c>
      <c r="M799" s="20">
        <f>L799*E799</f>
        <v/>
      </c>
      <c r="N799" s="20" t="n">
        <v>50</v>
      </c>
      <c r="O799" s="20" t="n"/>
      <c r="P799" s="20">
        <f>O799-N799</f>
        <v/>
      </c>
      <c r="Q799" s="20">
        <f>P799*E799</f>
        <v/>
      </c>
      <c r="R799" s="20" t="n"/>
    </row>
    <row r="800" ht="20" customHeight="1" s="1">
      <c r="A800" s="21" t="inlineStr">
        <is>
          <t>19903</t>
        </is>
      </c>
      <c r="B800" s="22" t="inlineStr">
        <is>
          <t>Morfose</t>
        </is>
      </c>
      <c r="C800" s="21" t="inlineStr">
        <is>
          <t>8680678823884</t>
        </is>
      </c>
      <c r="D800" s="22" t="inlineStr">
        <is>
          <t>Morfose Sac Boyasi 100ml 11.3 Ekstra Platin Dore</t>
        </is>
      </c>
      <c r="E800" s="23" t="n">
        <v>6</v>
      </c>
      <c r="F800" s="23" t="n">
        <v>60</v>
      </c>
      <c r="G800" s="23" t="n">
        <v>59</v>
      </c>
      <c r="H800" s="23" t="n"/>
      <c r="I800" s="23" t="n"/>
      <c r="J800" s="23" t="n"/>
      <c r="K800" s="19">
        <f>H800+I800+J800</f>
        <v/>
      </c>
      <c r="L800" s="19">
        <f>K800-G800</f>
        <v/>
      </c>
      <c r="M800" s="20">
        <f>L800*E800</f>
        <v/>
      </c>
      <c r="N800" s="20" t="n">
        <v>50</v>
      </c>
      <c r="O800" s="20" t="n"/>
      <c r="P800" s="20">
        <f>O800-N800</f>
        <v/>
      </c>
      <c r="Q800" s="20">
        <f>P800*E800</f>
        <v/>
      </c>
      <c r="R800" s="20" t="n"/>
    </row>
    <row r="801" ht="20" customHeight="1" s="1">
      <c r="A801" s="16" t="inlineStr">
        <is>
          <t>19904</t>
        </is>
      </c>
      <c r="B801" s="17" t="inlineStr">
        <is>
          <t>Morfose</t>
        </is>
      </c>
      <c r="C801" s="16" t="inlineStr">
        <is>
          <t>8680678823631</t>
        </is>
      </c>
      <c r="D801" s="17" t="inlineStr">
        <is>
          <t>Morfose Sac Boyasi 100ml 12 Ekstra Sari</t>
        </is>
      </c>
      <c r="E801" s="18" t="n">
        <v>6</v>
      </c>
      <c r="F801" s="18" t="n">
        <v>60</v>
      </c>
      <c r="G801" s="18" t="n">
        <v>46</v>
      </c>
      <c r="H801" s="18" t="n"/>
      <c r="I801" s="18" t="n"/>
      <c r="J801" s="18" t="n"/>
      <c r="K801" s="19">
        <f>H801+I801+J801</f>
        <v/>
      </c>
      <c r="L801" s="19">
        <f>K801-G801</f>
        <v/>
      </c>
      <c r="M801" s="20">
        <f>L801*E801</f>
        <v/>
      </c>
      <c r="N801" s="20" t="n">
        <v>50</v>
      </c>
      <c r="O801" s="20" t="n"/>
      <c r="P801" s="20">
        <f>O801-N801</f>
        <v/>
      </c>
      <c r="Q801" s="20">
        <f>P801*E801</f>
        <v/>
      </c>
      <c r="R801" s="20" t="n"/>
    </row>
    <row r="802" ht="20" customHeight="1" s="1">
      <c r="A802" s="21" t="inlineStr">
        <is>
          <t>19905</t>
        </is>
      </c>
      <c r="B802" s="22" t="inlineStr">
        <is>
          <t>Morfose</t>
        </is>
      </c>
      <c r="C802" s="21" t="inlineStr">
        <is>
          <t>8681701002696</t>
        </is>
      </c>
      <c r="D802" s="22" t="inlineStr">
        <is>
          <t>Morfose Sac Boyasi 100ml 12.00 Ekstra Platin Sari</t>
        </is>
      </c>
      <c r="E802" s="23" t="n">
        <v>6</v>
      </c>
      <c r="F802" s="23" t="n">
        <v>60</v>
      </c>
      <c r="G802" s="23" t="n">
        <v>28</v>
      </c>
      <c r="H802" s="23" t="n"/>
      <c r="I802" s="23" t="n"/>
      <c r="J802" s="23" t="n"/>
      <c r="K802" s="19">
        <f>H802+I802+J802</f>
        <v/>
      </c>
      <c r="L802" s="19">
        <f>K802-G802</f>
        <v/>
      </c>
      <c r="M802" s="20">
        <f>L802*E802</f>
        <v/>
      </c>
      <c r="N802" s="20" t="n">
        <v>50</v>
      </c>
      <c r="O802" s="20" t="n"/>
      <c r="P802" s="20">
        <f>O802-N802</f>
        <v/>
      </c>
      <c r="Q802" s="20">
        <f>P802*E802</f>
        <v/>
      </c>
      <c r="R802" s="20" t="n"/>
    </row>
    <row r="803" ht="20" customHeight="1" s="1">
      <c r="A803" s="16" t="inlineStr">
        <is>
          <t>19906</t>
        </is>
      </c>
      <c r="B803" s="17" t="inlineStr">
        <is>
          <t>Morfose</t>
        </is>
      </c>
      <c r="C803" s="16" t="inlineStr">
        <is>
          <t>8681701002702</t>
        </is>
      </c>
      <c r="D803" s="17" t="inlineStr">
        <is>
          <t>Morfose Sac Boyasi 100ml 12.01 Ekstra Acik Kullu Sari</t>
        </is>
      </c>
      <c r="E803" s="18" t="n">
        <v>6</v>
      </c>
      <c r="F803" s="18" t="n">
        <v>60</v>
      </c>
      <c r="G803" s="18" t="n">
        <v>24</v>
      </c>
      <c r="H803" s="18" t="n"/>
      <c r="I803" s="18" t="n"/>
      <c r="J803" s="18" t="n"/>
      <c r="K803" s="19" t="n"/>
      <c r="L803" s="19" t="n"/>
      <c r="M803" s="20" t="n"/>
      <c r="N803" s="20" t="n">
        <v>50</v>
      </c>
      <c r="O803" s="20" t="n"/>
      <c r="P803" s="20">
        <f>O803-N803</f>
        <v/>
      </c>
      <c r="Q803" s="20">
        <f>P803*E803</f>
        <v/>
      </c>
      <c r="R803" s="20" t="n"/>
    </row>
    <row r="804" ht="20" customHeight="1" s="1">
      <c r="A804" s="21" t="inlineStr">
        <is>
          <t>19907</t>
        </is>
      </c>
      <c r="B804" s="22" t="inlineStr">
        <is>
          <t>Morfose</t>
        </is>
      </c>
      <c r="C804" s="21" t="inlineStr">
        <is>
          <t>8681701002719</t>
        </is>
      </c>
      <c r="D804" s="22" t="inlineStr">
        <is>
          <t>Morfose Sac Boyasi 100ml 12.03 Platin Altin</t>
        </is>
      </c>
      <c r="E804" s="23" t="n">
        <v>6</v>
      </c>
      <c r="F804" s="23" t="n">
        <v>60</v>
      </c>
      <c r="G804" s="23" t="n">
        <v>36</v>
      </c>
      <c r="H804" s="23" t="n"/>
      <c r="I804" s="23" t="n"/>
      <c r="J804" s="23" t="n"/>
      <c r="K804" s="19">
        <f>H804+I804+J804</f>
        <v/>
      </c>
      <c r="L804" s="19">
        <f>K804-G804</f>
        <v/>
      </c>
      <c r="M804" s="20">
        <f>L804*E804</f>
        <v/>
      </c>
      <c r="N804" s="20" t="n">
        <v>50</v>
      </c>
      <c r="O804" s="20" t="n"/>
      <c r="P804" s="20">
        <f>O804-N804</f>
        <v/>
      </c>
      <c r="Q804" s="20">
        <f>P804*E804</f>
        <v/>
      </c>
      <c r="R804" s="20" t="n"/>
    </row>
    <row r="805" ht="20" customHeight="1" s="1">
      <c r="A805" s="16" t="inlineStr">
        <is>
          <t>19908</t>
        </is>
      </c>
      <c r="B805" s="17" t="inlineStr">
        <is>
          <t>Morfose</t>
        </is>
      </c>
      <c r="C805" s="16" t="inlineStr">
        <is>
          <t>8681701002726</t>
        </is>
      </c>
      <c r="D805" s="17" t="inlineStr">
        <is>
          <t>Morfose Sac Boyasi 100ml 12.19 Bej Sari</t>
        </is>
      </c>
      <c r="E805" s="18" t="n">
        <v>6</v>
      </c>
      <c r="F805" s="18" t="n">
        <v>60</v>
      </c>
      <c r="G805" s="18" t="n">
        <v>35</v>
      </c>
      <c r="H805" s="18" t="n"/>
      <c r="I805" s="18" t="n"/>
      <c r="J805" s="18" t="n"/>
      <c r="K805" s="19">
        <f>H805+I805+J805</f>
        <v/>
      </c>
      <c r="L805" s="19">
        <f>K805-G805</f>
        <v/>
      </c>
      <c r="M805" s="20">
        <f>L805*E805</f>
        <v/>
      </c>
      <c r="N805" s="20" t="n">
        <v>50</v>
      </c>
      <c r="O805" s="20" t="n"/>
      <c r="P805" s="20">
        <f>O805-N805</f>
        <v/>
      </c>
      <c r="Q805" s="20">
        <f>P805*E805</f>
        <v/>
      </c>
      <c r="R805" s="20" t="n"/>
    </row>
    <row r="806" ht="20" customHeight="1" s="1">
      <c r="A806" s="21" t="inlineStr">
        <is>
          <t>19909</t>
        </is>
      </c>
      <c r="B806" s="22" t="inlineStr">
        <is>
          <t>Morfose</t>
        </is>
      </c>
      <c r="C806" s="21" t="inlineStr">
        <is>
          <t>8681701002733</t>
        </is>
      </c>
      <c r="D806" s="22" t="inlineStr">
        <is>
          <t>Morfose Sac Boyasi 100ml 12.81 Ekstra Kullu Sari</t>
        </is>
      </c>
      <c r="E806" s="23" t="n">
        <v>6</v>
      </c>
      <c r="F806" s="23" t="n">
        <v>60</v>
      </c>
      <c r="G806" s="23" t="n">
        <v>18</v>
      </c>
      <c r="H806" s="23" t="n"/>
      <c r="I806" s="23" t="n"/>
      <c r="J806" s="23" t="n"/>
      <c r="K806" s="19">
        <f>H806+I806+J806</f>
        <v/>
      </c>
      <c r="L806" s="19">
        <f>K806-G806</f>
        <v/>
      </c>
      <c r="M806" s="20">
        <f>L806*E806</f>
        <v/>
      </c>
      <c r="N806" s="20" t="n">
        <v>50</v>
      </c>
      <c r="O806" s="20" t="n"/>
      <c r="P806" s="20">
        <f>O806-N806</f>
        <v/>
      </c>
      <c r="Q806" s="20">
        <f>P806*E806</f>
        <v/>
      </c>
      <c r="R806" s="20" t="n"/>
    </row>
    <row r="807" ht="20" customHeight="1" s="1">
      <c r="A807" s="16" t="inlineStr">
        <is>
          <t>19910</t>
        </is>
      </c>
      <c r="B807" s="17" t="inlineStr">
        <is>
          <t>Morfose</t>
        </is>
      </c>
      <c r="C807" s="16" t="inlineStr">
        <is>
          <t>8680678824089</t>
        </is>
      </c>
      <c r="D807" s="17" t="inlineStr">
        <is>
          <t>Morfose sac boyasi 100ml Gri</t>
        </is>
      </c>
      <c r="E807" s="18" t="n">
        <v>6</v>
      </c>
      <c r="F807" s="18" t="n">
        <v>60</v>
      </c>
      <c r="G807" s="18" t="n">
        <v>11</v>
      </c>
      <c r="H807" s="18" t="n"/>
      <c r="I807" s="18" t="n"/>
      <c r="J807" s="18" t="n"/>
      <c r="K807" s="19" t="n"/>
      <c r="L807" s="19" t="n"/>
      <c r="M807" s="20" t="n"/>
      <c r="N807" s="20" t="n">
        <v>50</v>
      </c>
      <c r="O807" s="20" t="n"/>
      <c r="P807" s="20">
        <f>O807-N807</f>
        <v/>
      </c>
      <c r="Q807" s="20">
        <f>P807*E807</f>
        <v/>
      </c>
      <c r="R807" s="20" t="n"/>
    </row>
    <row r="808" ht="20" customHeight="1" s="1">
      <c r="A808" s="21" t="inlineStr">
        <is>
          <t>19911</t>
        </is>
      </c>
      <c r="B808" s="22" t="inlineStr">
        <is>
          <t>Morfose</t>
        </is>
      </c>
      <c r="C808" s="21" t="inlineStr">
        <is>
          <t>8680678824058</t>
        </is>
      </c>
      <c r="D808" s="22" t="inlineStr">
        <is>
          <t>Morfose sac boyasi 100ml Kirmizi</t>
        </is>
      </c>
      <c r="E808" s="23" t="n">
        <v>6</v>
      </c>
      <c r="F808" s="23" t="n">
        <v>60</v>
      </c>
      <c r="G808" s="23" t="n">
        <v>22</v>
      </c>
      <c r="H808" s="23" t="n"/>
      <c r="I808" s="23" t="n"/>
      <c r="J808" s="23" t="n"/>
      <c r="K808" s="19">
        <f>H808+I808+J808</f>
        <v/>
      </c>
      <c r="L808" s="19">
        <f>K808-G808</f>
        <v/>
      </c>
      <c r="M808" s="20">
        <f>L808*E808</f>
        <v/>
      </c>
      <c r="N808" s="20" t="n">
        <v>50</v>
      </c>
      <c r="O808" s="20" t="n"/>
      <c r="P808" s="20">
        <f>O808-N808</f>
        <v/>
      </c>
      <c r="Q808" s="20">
        <f>P808*E808</f>
        <v/>
      </c>
      <c r="R808" s="20" t="n"/>
    </row>
    <row r="809" ht="20" customHeight="1" s="1">
      <c r="A809" s="16" t="inlineStr">
        <is>
          <t>19912</t>
        </is>
      </c>
      <c r="B809" s="17" t="inlineStr">
        <is>
          <t>Morfose</t>
        </is>
      </c>
      <c r="C809" s="16" t="inlineStr">
        <is>
          <t>8680678824102</t>
        </is>
      </c>
      <c r="D809" s="17" t="inlineStr">
        <is>
          <t>Morfose sac boyasi 100ml Leylak</t>
        </is>
      </c>
      <c r="E809" s="18" t="n">
        <v>6</v>
      </c>
      <c r="F809" s="18" t="n">
        <v>60</v>
      </c>
      <c r="G809" s="18" t="n">
        <v>21</v>
      </c>
      <c r="H809" s="18" t="n"/>
      <c r="I809" s="18" t="n"/>
      <c r="J809" s="18" t="n"/>
      <c r="K809" s="19">
        <f>H809+I809+J809</f>
        <v/>
      </c>
      <c r="L809" s="19">
        <f>K809-G809</f>
        <v/>
      </c>
      <c r="M809" s="20">
        <f>L809*E809</f>
        <v/>
      </c>
      <c r="N809" s="20" t="n">
        <v>50</v>
      </c>
      <c r="O809" s="20" t="n"/>
      <c r="P809" s="20">
        <f>O809-N809</f>
        <v/>
      </c>
      <c r="Q809" s="20">
        <f>P809*E809</f>
        <v/>
      </c>
      <c r="R809" s="20" t="n"/>
    </row>
    <row r="810" ht="20" customHeight="1" s="1">
      <c r="A810" s="21" t="inlineStr">
        <is>
          <t>19913</t>
        </is>
      </c>
      <c r="B810" s="22" t="inlineStr">
        <is>
          <t>Morfose</t>
        </is>
      </c>
      <c r="C810" s="21" t="inlineStr">
        <is>
          <t>8680678824065</t>
        </is>
      </c>
      <c r="D810" s="22" t="inlineStr">
        <is>
          <t>Morfose sac boyasi 100ml Mavi</t>
        </is>
      </c>
      <c r="E810" s="23" t="n">
        <v>6</v>
      </c>
      <c r="F810" s="23" t="n">
        <v>60</v>
      </c>
      <c r="G810" s="23" t="n">
        <v>6</v>
      </c>
      <c r="H810" s="23" t="n"/>
      <c r="I810" s="23" t="n"/>
      <c r="J810" s="23" t="n"/>
      <c r="K810" s="19" t="n"/>
      <c r="L810" s="19" t="n"/>
      <c r="M810" s="20" t="n"/>
      <c r="N810" s="20" t="n">
        <v>50</v>
      </c>
      <c r="O810" s="20" t="n"/>
      <c r="P810" s="20">
        <f>O810-N810</f>
        <v/>
      </c>
      <c r="Q810" s="20">
        <f>P810*E810</f>
        <v/>
      </c>
      <c r="R810" s="20" t="n"/>
    </row>
    <row r="811" ht="20" customHeight="1" s="1">
      <c r="A811" s="16" t="inlineStr">
        <is>
          <t>19914</t>
        </is>
      </c>
      <c r="B811" s="17" t="inlineStr">
        <is>
          <t>Morfose</t>
        </is>
      </c>
      <c r="C811" s="16" t="inlineStr">
        <is>
          <t>8680678824096</t>
        </is>
      </c>
      <c r="D811" s="17" t="inlineStr">
        <is>
          <t>Morfose sac boyasi 100ml Notr</t>
        </is>
      </c>
      <c r="E811" s="18" t="n">
        <v>6</v>
      </c>
      <c r="F811" s="18" t="n">
        <v>60</v>
      </c>
      <c r="G811" s="18" t="n">
        <v>14</v>
      </c>
      <c r="H811" s="18" t="n"/>
      <c r="I811" s="18" t="n"/>
      <c r="J811" s="18" t="n"/>
      <c r="K811" s="19" t="n"/>
      <c r="L811" s="19" t="n"/>
      <c r="M811" s="20" t="n"/>
      <c r="N811" s="20" t="n">
        <v>50</v>
      </c>
      <c r="O811" s="20" t="n"/>
      <c r="P811" s="20">
        <f>O811-N811</f>
        <v/>
      </c>
      <c r="Q811" s="20">
        <f>P811*E811</f>
        <v/>
      </c>
      <c r="R811" s="20" t="n"/>
    </row>
    <row r="812" ht="20" customHeight="1" s="1">
      <c r="A812" s="21" t="inlineStr">
        <is>
          <t>19915</t>
        </is>
      </c>
      <c r="B812" s="22" t="inlineStr">
        <is>
          <t>Morfose</t>
        </is>
      </c>
      <c r="C812" s="21" t="inlineStr">
        <is>
          <t>8680678824041</t>
        </is>
      </c>
      <c r="D812" s="22" t="inlineStr">
        <is>
          <t>Morfose sac boyasi 100ml Oranj</t>
        </is>
      </c>
      <c r="E812" s="23" t="n">
        <v>6</v>
      </c>
      <c r="F812" s="23" t="n">
        <v>60</v>
      </c>
      <c r="G812" s="23" t="n">
        <v>18</v>
      </c>
      <c r="H812" s="23" t="n"/>
      <c r="I812" s="23" t="n"/>
      <c r="J812" s="23" t="n"/>
      <c r="K812" s="19">
        <f>H812+I812+J812</f>
        <v/>
      </c>
      <c r="L812" s="19">
        <f>K812-G812</f>
        <v/>
      </c>
      <c r="M812" s="20">
        <f>L812*E812</f>
        <v/>
      </c>
      <c r="N812" s="20" t="n">
        <v>50</v>
      </c>
      <c r="O812" s="20" t="n"/>
      <c r="P812" s="20">
        <f>O812-N812</f>
        <v/>
      </c>
      <c r="Q812" s="20">
        <f>P812*E812</f>
        <v/>
      </c>
      <c r="R812" s="20" t="n"/>
    </row>
    <row r="813" ht="20" customHeight="1" s="1">
      <c r="A813" s="16" t="inlineStr">
        <is>
          <t>19916</t>
        </is>
      </c>
      <c r="B813" s="17" t="inlineStr">
        <is>
          <t>Morfose</t>
        </is>
      </c>
      <c r="C813" s="16" t="inlineStr">
        <is>
          <t>8680678824034</t>
        </is>
      </c>
      <c r="D813" s="17" t="inlineStr">
        <is>
          <t>Morfose sac boyasi 100ml Sari</t>
        </is>
      </c>
      <c r="E813" s="18" t="n">
        <v>6</v>
      </c>
      <c r="F813" s="18" t="n">
        <v>60</v>
      </c>
      <c r="G813" s="18" t="n">
        <v>28</v>
      </c>
      <c r="H813" s="18" t="n"/>
      <c r="I813" s="18" t="n"/>
      <c r="J813" s="18" t="n"/>
      <c r="K813" s="19">
        <f>H813+I813+J813</f>
        <v/>
      </c>
      <c r="L813" s="19">
        <f>K813-G813</f>
        <v/>
      </c>
      <c r="M813" s="20">
        <f>L813*E813</f>
        <v/>
      </c>
      <c r="N813" s="20" t="n">
        <v>50</v>
      </c>
      <c r="O813" s="20" t="n"/>
      <c r="P813" s="20">
        <f>O813-N813</f>
        <v/>
      </c>
      <c r="Q813" s="20">
        <f>P813*E813</f>
        <v/>
      </c>
      <c r="R813" s="20" t="n"/>
    </row>
    <row r="814" ht="20" customHeight="1" s="1">
      <c r="A814" s="21" t="inlineStr">
        <is>
          <t>19917</t>
        </is>
      </c>
      <c r="B814" s="22" t="inlineStr">
        <is>
          <t>Morfose</t>
        </is>
      </c>
      <c r="C814" s="21" t="inlineStr">
        <is>
          <t>8680678824072</t>
        </is>
      </c>
      <c r="D814" s="22" t="inlineStr">
        <is>
          <t>Morfose sac boyasi 100ml Yesil</t>
        </is>
      </c>
      <c r="E814" s="23" t="n">
        <v>6</v>
      </c>
      <c r="F814" s="23" t="n">
        <v>60</v>
      </c>
      <c r="G814" s="23" t="n">
        <v>16</v>
      </c>
      <c r="H814" s="23" t="n"/>
      <c r="I814" s="23" t="n"/>
      <c r="J814" s="23" t="n"/>
      <c r="K814" s="19">
        <f>H814+I814+J814</f>
        <v/>
      </c>
      <c r="L814" s="19">
        <f>K814-G814</f>
        <v/>
      </c>
      <c r="M814" s="20">
        <f>L814*E814</f>
        <v/>
      </c>
      <c r="N814" s="20" t="n">
        <v>50</v>
      </c>
      <c r="O814" s="20" t="n"/>
      <c r="P814" s="20">
        <f>O814-N814</f>
        <v/>
      </c>
      <c r="Q814" s="20">
        <f>P814*E814</f>
        <v/>
      </c>
      <c r="R814" s="20" t="n"/>
    </row>
    <row r="815" ht="20" customHeight="1" s="1">
      <c r="A815" s="16" t="inlineStr">
        <is>
          <t>19918</t>
        </is>
      </c>
      <c r="B815" s="17" t="inlineStr">
        <is>
          <t>Morfose</t>
        </is>
      </c>
      <c r="C815" s="16" t="inlineStr">
        <is>
          <t>8680678826922</t>
        </is>
      </c>
      <c r="D815" s="17" t="inlineStr">
        <is>
          <t>Morfose 10 Profesyonel Oksidant 20v 150ml</t>
        </is>
      </c>
      <c r="E815" s="18" t="n">
        <v>2.2</v>
      </c>
      <c r="F815" s="18" t="n">
        <v>36</v>
      </c>
      <c r="G815" s="18" t="n">
        <v>245</v>
      </c>
      <c r="H815" s="18" t="n"/>
      <c r="I815" s="18" t="n"/>
      <c r="J815" s="18" t="n"/>
      <c r="K815" s="19">
        <f>H815+I815+J815</f>
        <v/>
      </c>
      <c r="L815" s="19">
        <f>K815-G815</f>
        <v/>
      </c>
      <c r="M815" s="20">
        <f>L815*E815</f>
        <v/>
      </c>
      <c r="N815" s="20" t="n">
        <v>50</v>
      </c>
      <c r="O815" s="20" t="n"/>
      <c r="P815" s="20">
        <f>O815-N815</f>
        <v/>
      </c>
      <c r="Q815" s="20">
        <f>P815*E815</f>
        <v/>
      </c>
      <c r="R815" s="20" t="n"/>
    </row>
    <row r="816" ht="20" customHeight="1" s="1">
      <c r="A816" s="21" t="inlineStr">
        <is>
          <t>19919</t>
        </is>
      </c>
      <c r="B816" s="22" t="inlineStr">
        <is>
          <t>Morfose</t>
        </is>
      </c>
      <c r="C816" s="21" t="inlineStr">
        <is>
          <t>8680678826939</t>
        </is>
      </c>
      <c r="D816" s="22" t="inlineStr">
        <is>
          <t>Morfose 10 Profesyonel Oksidant 30v 150ml</t>
        </is>
      </c>
      <c r="E816" s="23" t="n">
        <v>2.2</v>
      </c>
      <c r="F816" s="23" t="n">
        <v>36</v>
      </c>
      <c r="G816" s="23" t="n">
        <v>146</v>
      </c>
      <c r="H816" s="23" t="n"/>
      <c r="I816" s="23" t="n"/>
      <c r="J816" s="23" t="n"/>
      <c r="K816" s="19">
        <f>H816+I816+J816</f>
        <v/>
      </c>
      <c r="L816" s="19">
        <f>K816-G816</f>
        <v/>
      </c>
      <c r="M816" s="20">
        <f>L816*E816</f>
        <v/>
      </c>
      <c r="N816" s="20" t="n">
        <v>50</v>
      </c>
      <c r="O816" s="20" t="n"/>
      <c r="P816" s="20">
        <f>O816-N816</f>
        <v/>
      </c>
      <c r="Q816" s="20">
        <f>P816*E816</f>
        <v/>
      </c>
      <c r="R816" s="20" t="n"/>
    </row>
    <row r="817" ht="20" customHeight="1" s="1">
      <c r="A817" s="16" t="inlineStr">
        <is>
          <t>19920</t>
        </is>
      </c>
      <c r="B817" s="17" t="inlineStr">
        <is>
          <t>Morfose</t>
        </is>
      </c>
      <c r="C817" s="16" t="inlineStr">
        <is>
          <t>8680678821033</t>
        </is>
      </c>
      <c r="D817" s="17" t="inlineStr">
        <is>
          <t>Morfose 10 Profesyonel Oksidant 10v 1000ml</t>
        </is>
      </c>
      <c r="E817" s="18" t="n">
        <v>9.4</v>
      </c>
      <c r="F817" s="18" t="n">
        <v>12</v>
      </c>
      <c r="G817" s="18" t="n">
        <v>28</v>
      </c>
      <c r="H817" s="18" t="n"/>
      <c r="I817" s="18" t="n"/>
      <c r="J817" s="18" t="n"/>
      <c r="K817" s="19">
        <f>H817+I817+J817</f>
        <v/>
      </c>
      <c r="L817" s="19">
        <f>K817-G817</f>
        <v/>
      </c>
      <c r="M817" s="20">
        <f>L817*E817</f>
        <v/>
      </c>
      <c r="N817" s="20" t="n">
        <v>50</v>
      </c>
      <c r="O817" s="20" t="n"/>
      <c r="P817" s="20">
        <f>O817-N817</f>
        <v/>
      </c>
      <c r="Q817" s="20">
        <f>P817*E817</f>
        <v/>
      </c>
      <c r="R817" s="20" t="n"/>
    </row>
    <row r="818" ht="20" customHeight="1" s="1">
      <c r="A818" s="21" t="inlineStr">
        <is>
          <t>19921</t>
        </is>
      </c>
      <c r="B818" s="22" t="inlineStr">
        <is>
          <t>Morfose</t>
        </is>
      </c>
      <c r="C818" s="21" t="inlineStr">
        <is>
          <t>8680678821040</t>
        </is>
      </c>
      <c r="D818" s="22" t="inlineStr">
        <is>
          <t>Morfose 10 Profesyonel Oksidant 20v 1000ml</t>
        </is>
      </c>
      <c r="E818" s="23" t="n">
        <v>9.4</v>
      </c>
      <c r="F818" s="23" t="n">
        <v>12</v>
      </c>
      <c r="G818" s="23" t="n">
        <v>40</v>
      </c>
      <c r="H818" s="23" t="n"/>
      <c r="I818" s="23" t="n"/>
      <c r="J818" s="23" t="n"/>
      <c r="K818" s="19">
        <f>H818+I818+J818</f>
        <v/>
      </c>
      <c r="L818" s="19">
        <f>K818-G818</f>
        <v/>
      </c>
      <c r="M818" s="20">
        <f>L818*E818</f>
        <v/>
      </c>
      <c r="N818" s="20" t="n">
        <v>50</v>
      </c>
      <c r="O818" s="20" t="n"/>
      <c r="P818" s="20">
        <f>O818-N818</f>
        <v/>
      </c>
      <c r="Q818" s="20">
        <f>P818*E818</f>
        <v/>
      </c>
      <c r="R818" s="20" t="n"/>
    </row>
    <row r="819" ht="20" customHeight="1" s="1">
      <c r="A819" s="16" t="inlineStr">
        <is>
          <t>19922</t>
        </is>
      </c>
      <c r="B819" s="17" t="inlineStr">
        <is>
          <t>Morfose</t>
        </is>
      </c>
      <c r="C819" s="16" t="inlineStr">
        <is>
          <t>8680678821057</t>
        </is>
      </c>
      <c r="D819" s="17" t="inlineStr">
        <is>
          <t>Morfose 10 Profesyonel Oksidant 30v 1000ml</t>
        </is>
      </c>
      <c r="E819" s="18" t="n">
        <v>9.4</v>
      </c>
      <c r="F819" s="18" t="n">
        <v>12</v>
      </c>
      <c r="G819" s="18" t="n">
        <v>27</v>
      </c>
      <c r="H819" s="18" t="n"/>
      <c r="I819" s="18" t="n"/>
      <c r="J819" s="18" t="n"/>
      <c r="K819" s="19">
        <f>H819+I819+J819</f>
        <v/>
      </c>
      <c r="L819" s="19">
        <f>K819-G819</f>
        <v/>
      </c>
      <c r="M819" s="20">
        <f>L819*E819</f>
        <v/>
      </c>
      <c r="N819" s="20" t="n">
        <v>50</v>
      </c>
      <c r="O819" s="20" t="n"/>
      <c r="P819" s="20">
        <f>O819-N819</f>
        <v/>
      </c>
      <c r="Q819" s="20">
        <f>P819*E819</f>
        <v/>
      </c>
      <c r="R819" s="20" t="n"/>
    </row>
    <row r="820" ht="20" customHeight="1" s="1">
      <c r="A820" s="21" t="inlineStr">
        <is>
          <t>19923</t>
        </is>
      </c>
      <c r="B820" s="22" t="inlineStr">
        <is>
          <t>Morfose</t>
        </is>
      </c>
      <c r="C820" s="21" t="inlineStr">
        <is>
          <t>8680678821064</t>
        </is>
      </c>
      <c r="D820" s="22" t="inlineStr">
        <is>
          <t>Morfose 10 Profesyonel Oksidant 40v 1000ml</t>
        </is>
      </c>
      <c r="E820" s="23" t="n">
        <v>9.4</v>
      </c>
      <c r="F820" s="23" t="n">
        <v>12</v>
      </c>
      <c r="G820" s="23" t="n">
        <v>30</v>
      </c>
      <c r="H820" s="23" t="n"/>
      <c r="I820" s="23" t="n"/>
      <c r="J820" s="23" t="n"/>
      <c r="K820" s="19">
        <f>H820+I820+J820</f>
        <v/>
      </c>
      <c r="L820" s="19">
        <f>K820-G820</f>
        <v/>
      </c>
      <c r="M820" s="20">
        <f>L820*E820</f>
        <v/>
      </c>
      <c r="N820" s="20" t="n">
        <v>50</v>
      </c>
      <c r="O820" s="20" t="n"/>
      <c r="P820" s="20">
        <f>O820-N820</f>
        <v/>
      </c>
      <c r="Q820" s="20">
        <f>P820*E820</f>
        <v/>
      </c>
      <c r="R820" s="20" t="n"/>
    </row>
    <row r="821" ht="20" customHeight="1" s="1">
      <c r="A821" s="16" t="inlineStr">
        <is>
          <t>19933</t>
        </is>
      </c>
      <c r="B821" s="17" t="inlineStr">
        <is>
          <t>Morfose</t>
        </is>
      </c>
      <c r="C821" s="16" t="inlineStr">
        <is>
          <t>8681701003112</t>
        </is>
      </c>
      <c r="D821" s="17" t="inlineStr">
        <is>
          <t>Morfose 10 Sac Acici Set Mavi 1000ml</t>
        </is>
      </c>
      <c r="E821" s="18" t="n">
        <v>28.6</v>
      </c>
      <c r="F821" s="18" t="n">
        <v>12</v>
      </c>
      <c r="G821" s="18" t="n">
        <v>31</v>
      </c>
      <c r="H821" s="18" t="n"/>
      <c r="I821" s="18" t="n"/>
      <c r="J821" s="18" t="n"/>
      <c r="K821" s="19">
        <f>H821+I821+J821</f>
        <v/>
      </c>
      <c r="L821" s="19">
        <f>K821-G821</f>
        <v/>
      </c>
      <c r="M821" s="20">
        <f>L821*E821</f>
        <v/>
      </c>
      <c r="N821" s="20" t="n">
        <v>50</v>
      </c>
      <c r="O821" s="20" t="n"/>
      <c r="P821" s="20">
        <f>O821-N821</f>
        <v/>
      </c>
      <c r="Q821" s="20">
        <f>P821*E821</f>
        <v/>
      </c>
      <c r="R821" s="20" t="n"/>
    </row>
    <row r="822" ht="20" customHeight="1" s="1">
      <c r="A822" s="21" t="inlineStr">
        <is>
          <t>19934</t>
        </is>
      </c>
      <c r="B822" s="22" t="inlineStr">
        <is>
          <t>Morfose</t>
        </is>
      </c>
      <c r="C822" s="21" t="inlineStr">
        <is>
          <t>8681701005581</t>
        </is>
      </c>
      <c r="D822" s="22" t="inlineStr">
        <is>
          <t>Morfose 10 Sac Acici Set Beyaz 1000ml</t>
        </is>
      </c>
      <c r="E822" s="23" t="n">
        <v>28.6</v>
      </c>
      <c r="F822" s="23" t="n">
        <v>12</v>
      </c>
      <c r="G822" s="23" t="n">
        <v>0</v>
      </c>
      <c r="H822" s="23" t="n"/>
      <c r="I822" s="23" t="n"/>
      <c r="J822" s="23" t="n"/>
      <c r="K822" s="19">
        <f>H822+I822+J822</f>
        <v/>
      </c>
      <c r="L822" s="19">
        <f>K822-G822</f>
        <v/>
      </c>
      <c r="M822" s="20">
        <f>L822*E822</f>
        <v/>
      </c>
      <c r="N822" s="20" t="n">
        <v>50</v>
      </c>
      <c r="O822" s="20" t="n"/>
      <c r="P822" s="20">
        <f>O822-N822</f>
        <v/>
      </c>
      <c r="Q822" s="20">
        <f>P822*E822</f>
        <v/>
      </c>
      <c r="R822" s="20" t="n"/>
    </row>
    <row r="823" ht="20" customHeight="1" s="1">
      <c r="A823" s="16" t="inlineStr">
        <is>
          <t>19936</t>
        </is>
      </c>
      <c r="B823" s="17" t="inlineStr">
        <is>
          <t>Morfose</t>
        </is>
      </c>
      <c r="C823" s="16" t="inlineStr">
        <is>
          <t>8681701008438</t>
        </is>
      </c>
      <c r="D823" s="17" t="inlineStr">
        <is>
          <t>Morfose 10 Toz Acici Mavi 500ml Doy Pak</t>
        </is>
      </c>
      <c r="E823" s="18" t="n">
        <v>15.9</v>
      </c>
      <c r="F823" s="18" t="n">
        <v>24</v>
      </c>
      <c r="G823" s="18" t="n">
        <v>60</v>
      </c>
      <c r="H823" s="18" t="n"/>
      <c r="I823" s="18" t="n"/>
      <c r="J823" s="18" t="n"/>
      <c r="K823" s="19">
        <f>H823+I823+J823</f>
        <v/>
      </c>
      <c r="L823" s="19">
        <f>K823-G823</f>
        <v/>
      </c>
      <c r="M823" s="20">
        <f>L823*E823</f>
        <v/>
      </c>
      <c r="N823" s="20" t="n">
        <v>50</v>
      </c>
      <c r="O823" s="20" t="n"/>
      <c r="P823" s="20">
        <f>O823-N823</f>
        <v/>
      </c>
      <c r="Q823" s="20">
        <f>P823*E823</f>
        <v/>
      </c>
      <c r="R823" s="20" t="n"/>
    </row>
    <row r="824" ht="20" customHeight="1" s="1">
      <c r="A824" s="21" t="inlineStr">
        <is>
          <t>19937</t>
        </is>
      </c>
      <c r="B824" s="22" t="inlineStr">
        <is>
          <t>Morfose</t>
        </is>
      </c>
      <c r="C824" s="21" t="inlineStr">
        <is>
          <t>8681701008421</t>
        </is>
      </c>
      <c r="D824" s="22" t="inlineStr">
        <is>
          <t>Morfose 10 Toz Acici Beyaz 500ml Doy Pak</t>
        </is>
      </c>
      <c r="E824" s="23" t="n">
        <v>15.9</v>
      </c>
      <c r="F824" s="23" t="n">
        <v>24</v>
      </c>
      <c r="G824" s="23" t="n">
        <v>91</v>
      </c>
      <c r="H824" s="23" t="n"/>
      <c r="I824" s="23" t="n"/>
      <c r="J824" s="23" t="n"/>
      <c r="K824" s="19">
        <f>H824+I824+J824</f>
        <v/>
      </c>
      <c r="L824" s="19">
        <f>K824-G824</f>
        <v/>
      </c>
      <c r="M824" s="20">
        <f>L824*E824</f>
        <v/>
      </c>
      <c r="N824" s="20" t="n">
        <v>50</v>
      </c>
      <c r="O824" s="20" t="n"/>
      <c r="P824" s="20">
        <f>O824-N824</f>
        <v/>
      </c>
      <c r="Q824" s="20">
        <f>P824*E824</f>
        <v/>
      </c>
      <c r="R824" s="20" t="n"/>
    </row>
    <row r="825" ht="20" customHeight="1" s="1">
      <c r="A825" s="16" t="inlineStr">
        <is>
          <t>19924</t>
        </is>
      </c>
      <c r="B825" s="17" t="inlineStr">
        <is>
          <t>Morfose</t>
        </is>
      </c>
      <c r="C825" s="16" t="inlineStr">
        <is>
          <t>8698655383184</t>
        </is>
      </c>
      <c r="D825" s="17" t="inlineStr">
        <is>
          <t>Morfose Oksidant 10v 1000ml</t>
        </is>
      </c>
      <c r="E825" s="18" t="n">
        <v>8.800000000000001</v>
      </c>
      <c r="F825" s="18" t="n">
        <v>6</v>
      </c>
      <c r="G825" s="18" t="n">
        <v>22</v>
      </c>
      <c r="H825" s="18" t="n"/>
      <c r="I825" s="18" t="n"/>
      <c r="J825" s="18" t="n"/>
      <c r="K825" s="19">
        <f>H825+I825+J825</f>
        <v/>
      </c>
      <c r="L825" s="19">
        <f>K825-G825</f>
        <v/>
      </c>
      <c r="M825" s="20">
        <f>L825*E825</f>
        <v/>
      </c>
      <c r="N825" s="20" t="n">
        <v>50</v>
      </c>
      <c r="O825" s="20" t="n"/>
      <c r="P825" s="20">
        <f>O825-N825</f>
        <v/>
      </c>
      <c r="Q825" s="20">
        <f>P825*E825</f>
        <v/>
      </c>
      <c r="R825" s="20" t="n"/>
    </row>
    <row r="826" ht="20" customHeight="1" s="1">
      <c r="A826" s="21" t="inlineStr">
        <is>
          <t>19925</t>
        </is>
      </c>
      <c r="B826" s="22" t="inlineStr">
        <is>
          <t>Morfose</t>
        </is>
      </c>
      <c r="C826" s="21" t="inlineStr">
        <is>
          <t>8698655383191</t>
        </is>
      </c>
      <c r="D826" s="22" t="inlineStr">
        <is>
          <t>Morfose Oksidant 20v 1000ml</t>
        </is>
      </c>
      <c r="E826" s="23" t="n">
        <v>8.800000000000001</v>
      </c>
      <c r="F826" s="23" t="n">
        <v>6</v>
      </c>
      <c r="G826" s="23" t="n">
        <v>9</v>
      </c>
      <c r="H826" s="23" t="n"/>
      <c r="I826" s="23" t="n"/>
      <c r="J826" s="23" t="n"/>
      <c r="K826" s="19">
        <f>H826+I826+J826</f>
        <v/>
      </c>
      <c r="L826" s="19">
        <f>K826-G826</f>
        <v/>
      </c>
      <c r="M826" s="20">
        <f>L826*E826</f>
        <v/>
      </c>
      <c r="N826" s="20" t="n">
        <v>50</v>
      </c>
      <c r="O826" s="20" t="n"/>
      <c r="P826" s="20">
        <f>O826-N826</f>
        <v/>
      </c>
      <c r="Q826" s="20">
        <f>P826*E826</f>
        <v/>
      </c>
      <c r="R826" s="20" t="n"/>
    </row>
    <row r="827" ht="20" customHeight="1" s="1">
      <c r="A827" s="16" t="inlineStr">
        <is>
          <t>19926</t>
        </is>
      </c>
      <c r="B827" s="17" t="inlineStr">
        <is>
          <t>Morfose</t>
        </is>
      </c>
      <c r="C827" s="16" t="inlineStr">
        <is>
          <t>8698655383207</t>
        </is>
      </c>
      <c r="D827" s="17" t="inlineStr">
        <is>
          <t>Morfose Oksidant 30v 1000ml</t>
        </is>
      </c>
      <c r="E827" s="18" t="n">
        <v>8.800000000000001</v>
      </c>
      <c r="F827" s="18" t="n">
        <v>6</v>
      </c>
      <c r="G827" s="18" t="n">
        <v>0</v>
      </c>
      <c r="H827" s="18" t="n"/>
      <c r="I827" s="18" t="n"/>
      <c r="J827" s="18" t="n"/>
      <c r="K827" s="19">
        <f>H827+I827+J827</f>
        <v/>
      </c>
      <c r="L827" s="19">
        <f>K827-G827</f>
        <v/>
      </c>
      <c r="M827" s="20">
        <f>L827*E827</f>
        <v/>
      </c>
      <c r="N827" s="20" t="n">
        <v>50</v>
      </c>
      <c r="O827" s="20" t="n"/>
      <c r="P827" s="20">
        <f>O827-N827</f>
        <v/>
      </c>
      <c r="Q827" s="20">
        <f>P827*E827</f>
        <v/>
      </c>
      <c r="R827" s="20" t="n"/>
    </row>
    <row r="828" ht="20" customHeight="1" s="1">
      <c r="A828" s="21" t="inlineStr">
        <is>
          <t>19927</t>
        </is>
      </c>
      <c r="B828" s="22" t="inlineStr">
        <is>
          <t>Morfose</t>
        </is>
      </c>
      <c r="C828" s="21" t="inlineStr">
        <is>
          <t>8698655383214</t>
        </is>
      </c>
      <c r="D828" s="22" t="inlineStr">
        <is>
          <t>Morfose Oksidant 40v 1000ml</t>
        </is>
      </c>
      <c r="E828" s="23" t="n">
        <v>8.800000000000001</v>
      </c>
      <c r="F828" s="23" t="n">
        <v>6</v>
      </c>
      <c r="G828" s="23" t="n">
        <v>1</v>
      </c>
      <c r="H828" s="23" t="n"/>
      <c r="I828" s="23" t="n"/>
      <c r="J828" s="23" t="n"/>
      <c r="K828" s="19" t="n"/>
      <c r="L828" s="19" t="n"/>
      <c r="M828" s="20" t="n"/>
      <c r="N828" s="20" t="n">
        <v>50</v>
      </c>
      <c r="O828" s="20" t="n"/>
      <c r="P828" s="20">
        <f>O828-N828</f>
        <v/>
      </c>
      <c r="Q828" s="20">
        <f>P828*E828</f>
        <v/>
      </c>
      <c r="R828" s="20" t="n"/>
    </row>
    <row r="829" ht="20" customHeight="1" s="1">
      <c r="A829" s="16" t="inlineStr">
        <is>
          <t>20873</t>
        </is>
      </c>
      <c r="B829" s="17" t="inlineStr">
        <is>
          <t>Morfose</t>
        </is>
      </c>
      <c r="C829" s="16" t="inlineStr">
        <is>
          <t>8680678830837</t>
        </is>
      </c>
      <c r="D829" s="17" t="inlineStr">
        <is>
          <t>Morfose Oksidant 10v 4000ml</t>
        </is>
      </c>
      <c r="E829" s="18" t="n">
        <v>23.1</v>
      </c>
      <c r="F829" s="18" t="n">
        <v>6</v>
      </c>
      <c r="G829" s="18" t="n">
        <v>7</v>
      </c>
      <c r="H829" s="18" t="n"/>
      <c r="I829" s="18" t="n"/>
      <c r="J829" s="18" t="n"/>
      <c r="K829" s="19">
        <f>H829+I829+J829</f>
        <v/>
      </c>
      <c r="L829" s="19">
        <f>K829-G829</f>
        <v/>
      </c>
      <c r="M829" s="20">
        <f>L829*E829</f>
        <v/>
      </c>
      <c r="N829" s="20" t="n">
        <v>50</v>
      </c>
      <c r="O829" s="20" t="n"/>
      <c r="P829" s="20">
        <f>O829-N829</f>
        <v/>
      </c>
      <c r="Q829" s="20">
        <f>P829*E829</f>
        <v/>
      </c>
      <c r="R829" s="20" t="n"/>
    </row>
    <row r="830" ht="20" customHeight="1" s="1">
      <c r="A830" s="21" t="inlineStr">
        <is>
          <t>19928</t>
        </is>
      </c>
      <c r="B830" s="22" t="inlineStr">
        <is>
          <t>Morfose</t>
        </is>
      </c>
      <c r="C830" s="21" t="inlineStr">
        <is>
          <t>8680678830844</t>
        </is>
      </c>
      <c r="D830" s="22" t="inlineStr">
        <is>
          <t>Morfose Oksidant 20v 4000ml</t>
        </is>
      </c>
      <c r="E830" s="23" t="n">
        <v>23</v>
      </c>
      <c r="F830" s="23" t="n">
        <v>6</v>
      </c>
      <c r="G830" s="23" t="n">
        <v>6</v>
      </c>
      <c r="H830" s="23" t="n"/>
      <c r="I830" s="23" t="n"/>
      <c r="J830" s="23" t="n"/>
      <c r="K830" s="19" t="n"/>
      <c r="L830" s="19" t="n"/>
      <c r="M830" s="20" t="n"/>
      <c r="N830" s="20" t="n">
        <v>50</v>
      </c>
      <c r="O830" s="20" t="n"/>
      <c r="P830" s="20">
        <f>O830-N830</f>
        <v/>
      </c>
      <c r="Q830" s="20">
        <f>P830*E830</f>
        <v/>
      </c>
      <c r="R830" s="20" t="n"/>
    </row>
    <row r="831" ht="20" customHeight="1" s="1">
      <c r="A831" s="16" t="inlineStr">
        <is>
          <t>19929</t>
        </is>
      </c>
      <c r="B831" s="17" t="inlineStr">
        <is>
          <t>Morfose</t>
        </is>
      </c>
      <c r="C831" s="16" t="inlineStr">
        <is>
          <t>8680678830851</t>
        </is>
      </c>
      <c r="D831" s="17" t="inlineStr">
        <is>
          <t>Morfose Oksidant 30v 4000ml</t>
        </is>
      </c>
      <c r="E831" s="18" t="n">
        <v>23</v>
      </c>
      <c r="F831" s="18" t="n">
        <v>6</v>
      </c>
      <c r="G831" s="18" t="n">
        <v>4</v>
      </c>
      <c r="H831" s="18" t="n"/>
      <c r="I831" s="18" t="n"/>
      <c r="J831" s="18" t="n"/>
      <c r="K831" s="19" t="n"/>
      <c r="L831" s="19" t="n"/>
      <c r="M831" s="20" t="n"/>
      <c r="N831" s="20" t="n">
        <v>50</v>
      </c>
      <c r="O831" s="20" t="n"/>
      <c r="P831" s="20">
        <f>O831-N831</f>
        <v/>
      </c>
      <c r="Q831" s="20">
        <f>P831*E831</f>
        <v/>
      </c>
      <c r="R831" s="20" t="n"/>
    </row>
    <row r="832" ht="20" customHeight="1" s="1">
      <c r="A832" s="21" t="inlineStr">
        <is>
          <t>19930</t>
        </is>
      </c>
      <c r="B832" s="22" t="inlineStr">
        <is>
          <t>Morfose</t>
        </is>
      </c>
      <c r="C832" s="21" t="inlineStr">
        <is>
          <t>8680678830868</t>
        </is>
      </c>
      <c r="D832" s="22" t="inlineStr">
        <is>
          <t>Morfose Oksidant 40v 4000ml</t>
        </is>
      </c>
      <c r="E832" s="23" t="n">
        <v>23</v>
      </c>
      <c r="F832" s="23" t="n">
        <v>6</v>
      </c>
      <c r="G832" s="23" t="n">
        <v>13</v>
      </c>
      <c r="H832" s="23" t="n"/>
      <c r="I832" s="23" t="n"/>
      <c r="J832" s="23" t="n"/>
      <c r="K832" s="19">
        <f>H832+I832+J832</f>
        <v/>
      </c>
      <c r="L832" s="19">
        <f>K832-G832</f>
        <v/>
      </c>
      <c r="M832" s="20">
        <f>L832*E832</f>
        <v/>
      </c>
      <c r="N832" s="20" t="n">
        <v>50</v>
      </c>
      <c r="O832" s="20" t="n"/>
      <c r="P832" s="20">
        <f>O832-N832</f>
        <v/>
      </c>
      <c r="Q832" s="20">
        <f>P832*E832</f>
        <v/>
      </c>
      <c r="R832" s="20" t="n"/>
    </row>
    <row r="833" ht="20" customHeight="1" s="1">
      <c r="A833" s="16" t="inlineStr">
        <is>
          <t>19931</t>
        </is>
      </c>
      <c r="B833" s="17" t="inlineStr">
        <is>
          <t>Morfose</t>
        </is>
      </c>
      <c r="C833" s="16" t="inlineStr">
        <is>
          <t>8681701003129</t>
        </is>
      </c>
      <c r="D833" s="17" t="inlineStr">
        <is>
          <t>Morfose Sac Acici Mavi 1000ml</t>
        </is>
      </c>
      <c r="E833" s="18" t="n">
        <v>26.4</v>
      </c>
      <c r="F833" s="18" t="n">
        <v>12</v>
      </c>
      <c r="G833" s="18" t="n">
        <v>8</v>
      </c>
      <c r="H833" s="18" t="n"/>
      <c r="I833" s="18" t="n"/>
      <c r="J833" s="18" t="n"/>
      <c r="K833" s="19" t="n"/>
      <c r="L833" s="19" t="n"/>
      <c r="M833" s="20" t="n"/>
      <c r="N833" s="20" t="n">
        <v>50</v>
      </c>
      <c r="O833" s="20" t="n"/>
      <c r="P833" s="20">
        <f>O833-N833</f>
        <v/>
      </c>
      <c r="Q833" s="20">
        <f>P833*E833</f>
        <v/>
      </c>
      <c r="R833" s="20" t="n"/>
    </row>
    <row r="834" ht="20" customHeight="1" s="1">
      <c r="A834" s="21" t="inlineStr">
        <is>
          <t>19932</t>
        </is>
      </c>
      <c r="B834" s="22" t="inlineStr">
        <is>
          <t>Morfose</t>
        </is>
      </c>
      <c r="C834" s="21" t="inlineStr">
        <is>
          <t>8681701003136</t>
        </is>
      </c>
      <c r="D834" s="22" t="inlineStr">
        <is>
          <t>Morfose Sac Acici Beyaz 1000ml</t>
        </is>
      </c>
      <c r="E834" s="23" t="n">
        <v>26.4</v>
      </c>
      <c r="F834" s="23" t="n">
        <v>12</v>
      </c>
      <c r="G834" s="23" t="n">
        <v>13</v>
      </c>
      <c r="H834" s="23" t="n"/>
      <c r="I834" s="23" t="n"/>
      <c r="J834" s="23" t="n"/>
      <c r="K834" s="19">
        <f>H834+I834+J834</f>
        <v/>
      </c>
      <c r="L834" s="19">
        <f>K834-G834</f>
        <v/>
      </c>
      <c r="M834" s="20">
        <f>L834*E834</f>
        <v/>
      </c>
      <c r="N834" s="20" t="n">
        <v>50</v>
      </c>
      <c r="O834" s="20" t="n"/>
      <c r="P834" s="20">
        <f>O834-N834</f>
        <v/>
      </c>
      <c r="Q834" s="20">
        <f>P834*E834</f>
        <v/>
      </c>
      <c r="R834" s="20" t="n"/>
    </row>
    <row r="835" ht="20" customHeight="1" s="1">
      <c r="A835" s="16" t="inlineStr">
        <is>
          <t>19935</t>
        </is>
      </c>
      <c r="B835" s="17" t="inlineStr">
        <is>
          <t>Morfose</t>
        </is>
      </c>
      <c r="C835" s="16" t="inlineStr">
        <is>
          <t>8681701001477</t>
        </is>
      </c>
      <c r="D835" s="17" t="inlineStr">
        <is>
          <t>Morfose Toz Acici Kirmizi 500ml</t>
        </is>
      </c>
      <c r="E835" s="18" t="n">
        <v>28</v>
      </c>
      <c r="F835" s="18" t="n">
        <v>12</v>
      </c>
      <c r="G835" s="18" t="n">
        <v>23</v>
      </c>
      <c r="H835" s="18" t="n"/>
      <c r="I835" s="18" t="n"/>
      <c r="J835" s="18" t="n"/>
      <c r="K835" s="19">
        <f>H835+I835+J835</f>
        <v/>
      </c>
      <c r="L835" s="19">
        <f>K835-G835</f>
        <v/>
      </c>
      <c r="M835" s="20">
        <f>L835*E835</f>
        <v/>
      </c>
      <c r="N835" s="20" t="n">
        <v>50</v>
      </c>
      <c r="O835" s="20" t="n"/>
      <c r="P835" s="20">
        <f>O835-N835</f>
        <v/>
      </c>
      <c r="Q835" s="20">
        <f>P835*E835</f>
        <v/>
      </c>
      <c r="R835" s="20" t="n"/>
    </row>
    <row r="836" ht="20" customHeight="1" s="1">
      <c r="A836" s="21" t="inlineStr">
        <is>
          <t>19961</t>
        </is>
      </c>
      <c r="B836" s="22" t="inlineStr">
        <is>
          <t>Morfose</t>
        </is>
      </c>
      <c r="C836" s="21" t="inlineStr">
        <is>
          <t>8681701000593</t>
        </is>
      </c>
      <c r="D836" s="22" t="inlineStr">
        <is>
          <t>Morfose Sampun Bitkisel 5000ml</t>
        </is>
      </c>
      <c r="E836" s="23" t="n">
        <v>19.8</v>
      </c>
      <c r="F836" s="23" t="n">
        <v>4</v>
      </c>
      <c r="G836" s="23" t="n">
        <v>3</v>
      </c>
      <c r="H836" s="23" t="n"/>
      <c r="I836" s="23" t="n"/>
      <c r="J836" s="23" t="n"/>
      <c r="K836" s="19" t="n"/>
      <c r="L836" s="19" t="n"/>
      <c r="M836" s="20" t="n"/>
      <c r="N836" s="20" t="n">
        <v>50</v>
      </c>
      <c r="O836" s="20" t="n"/>
      <c r="P836" s="20">
        <f>O836-N836</f>
        <v/>
      </c>
      <c r="Q836" s="20">
        <f>P836*E836</f>
        <v/>
      </c>
      <c r="R836" s="20" t="n"/>
    </row>
    <row r="837" ht="20" customHeight="1" s="1">
      <c r="A837" s="16" t="inlineStr">
        <is>
          <t>19962</t>
        </is>
      </c>
      <c r="B837" s="17" t="inlineStr">
        <is>
          <t>Morfose</t>
        </is>
      </c>
      <c r="C837" s="16" t="inlineStr">
        <is>
          <t>8681701007745</t>
        </is>
      </c>
      <c r="D837" s="17" t="inlineStr">
        <is>
          <t>Morfose Sampun Delux Green Hair 5000ml</t>
        </is>
      </c>
      <c r="E837" s="18" t="n">
        <v>20.9</v>
      </c>
      <c r="F837" s="18" t="n">
        <v>4</v>
      </c>
      <c r="G837" s="18" t="n">
        <v>3</v>
      </c>
      <c r="H837" s="18" t="n"/>
      <c r="I837" s="18" t="n"/>
      <c r="J837" s="18" t="n"/>
      <c r="K837" s="19" t="n"/>
      <c r="L837" s="19" t="n"/>
      <c r="M837" s="20" t="n"/>
      <c r="N837" s="20" t="n">
        <v>50</v>
      </c>
      <c r="O837" s="20" t="n"/>
      <c r="P837" s="20">
        <f>O837-N837</f>
        <v/>
      </c>
      <c r="Q837" s="20">
        <f>P837*E837</f>
        <v/>
      </c>
      <c r="R837" s="20" t="n"/>
    </row>
    <row r="838" ht="20" customHeight="1" s="1">
      <c r="A838" s="21" t="inlineStr">
        <is>
          <t>21185</t>
        </is>
      </c>
      <c r="B838" s="22" t="inlineStr">
        <is>
          <t>Morfose</t>
        </is>
      </c>
      <c r="C838" s="21" t="inlineStr">
        <is>
          <t>8681701013555</t>
        </is>
      </c>
      <c r="D838" s="22" t="inlineStr">
        <is>
          <t>Morfose Sac Spreyi Refill Ultra Hold 700ml</t>
        </is>
      </c>
      <c r="E838" s="23" t="n">
        <v>19.8</v>
      </c>
      <c r="F838" s="23" t="n">
        <v>12</v>
      </c>
      <c r="G838" s="23" t="n">
        <v>36</v>
      </c>
      <c r="H838" s="23" t="n"/>
      <c r="I838" s="23" t="n"/>
      <c r="J838" s="23" t="n"/>
      <c r="K838" s="19">
        <f>H838+I838+J838</f>
        <v/>
      </c>
      <c r="L838" s="19">
        <f>K838-G838</f>
        <v/>
      </c>
      <c r="M838" s="20">
        <f>L838*E838</f>
        <v/>
      </c>
      <c r="N838" s="20" t="n">
        <v>50</v>
      </c>
      <c r="O838" s="20" t="n"/>
      <c r="P838" s="20">
        <f>O838-N838</f>
        <v/>
      </c>
      <c r="Q838" s="20">
        <f>P838*E838</f>
        <v/>
      </c>
      <c r="R838" s="20" t="n"/>
    </row>
    <row r="839" ht="20" customHeight="1" s="1">
      <c r="A839" s="16" t="inlineStr">
        <is>
          <t>19953</t>
        </is>
      </c>
      <c r="B839" s="17" t="inlineStr">
        <is>
          <t>Morfose</t>
        </is>
      </c>
      <c r="C839" s="16" t="inlineStr">
        <is>
          <t>8698655380077</t>
        </is>
      </c>
      <c r="D839" s="17" t="inlineStr">
        <is>
          <t>Morfose Sac Spreyi Finishing Siyah 750ml</t>
        </is>
      </c>
      <c r="E839" s="18" t="n">
        <v>11.6</v>
      </c>
      <c r="F839" s="18" t="n">
        <v>12</v>
      </c>
      <c r="G839" s="18" t="n">
        <v>12</v>
      </c>
      <c r="H839" s="18" t="n"/>
      <c r="I839" s="18" t="n"/>
      <c r="J839" s="18" t="n"/>
      <c r="K839" s="19">
        <f>H839+I839+J839</f>
        <v/>
      </c>
      <c r="L839" s="19">
        <f>K839-G839</f>
        <v/>
      </c>
      <c r="M839" s="20">
        <f>L839*E839</f>
        <v/>
      </c>
      <c r="N839" s="20" t="n">
        <v>50</v>
      </c>
      <c r="O839" s="20" t="n"/>
      <c r="P839" s="20">
        <f>O839-N839</f>
        <v/>
      </c>
      <c r="Q839" s="20">
        <f>P839*E839</f>
        <v/>
      </c>
      <c r="R839" s="20" t="n"/>
    </row>
    <row r="840" ht="20" customHeight="1" s="1">
      <c r="A840" s="21" t="inlineStr">
        <is>
          <t>19948</t>
        </is>
      </c>
      <c r="B840" s="22" t="inlineStr">
        <is>
          <t>Morfose</t>
        </is>
      </c>
      <c r="C840" s="21" t="inlineStr">
        <is>
          <t>8698655380046</t>
        </is>
      </c>
      <c r="D840" s="22" t="inlineStr">
        <is>
          <t>Morfose Sac Spreyi Ultra Strong 400ml</t>
        </is>
      </c>
      <c r="E840" s="23" t="n">
        <v>6.5</v>
      </c>
      <c r="F840" s="23" t="n">
        <v>12</v>
      </c>
      <c r="G840" s="23" t="n">
        <v>677</v>
      </c>
      <c r="H840" s="23" t="n"/>
      <c r="I840" s="23" t="n"/>
      <c r="J840" s="23" t="n"/>
      <c r="K840" s="19">
        <f>H840+I840+J840</f>
        <v/>
      </c>
      <c r="L840" s="19">
        <f>K840-G840</f>
        <v/>
      </c>
      <c r="M840" s="20">
        <f>L840*E840</f>
        <v/>
      </c>
      <c r="N840" s="20" t="n">
        <v>50</v>
      </c>
      <c r="O840" s="20" t="n"/>
      <c r="P840" s="20">
        <f>O840-N840</f>
        <v/>
      </c>
      <c r="Q840" s="20">
        <f>P840*E840</f>
        <v/>
      </c>
      <c r="R840" s="20" t="n"/>
    </row>
    <row r="841" ht="20" customHeight="1" s="1">
      <c r="A841" s="16" t="inlineStr">
        <is>
          <t>19950</t>
        </is>
      </c>
      <c r="B841" s="17" t="inlineStr">
        <is>
          <t>Morfose</t>
        </is>
      </c>
      <c r="C841" s="16" t="inlineStr">
        <is>
          <t>8698655380053</t>
        </is>
      </c>
      <c r="D841" s="17" t="inlineStr">
        <is>
          <t>Morfose Sac Spreyi Extra Strong 400ml</t>
        </is>
      </c>
      <c r="E841" s="18" t="n">
        <v>6.5</v>
      </c>
      <c r="F841" s="18" t="n">
        <v>12</v>
      </c>
      <c r="G841" s="18" t="n">
        <v>107</v>
      </c>
      <c r="H841" s="18" t="n"/>
      <c r="I841" s="18" t="n"/>
      <c r="J841" s="18" t="n"/>
      <c r="K841" s="19">
        <f>H841+I841+J841</f>
        <v/>
      </c>
      <c r="L841" s="19">
        <f>K841-G841</f>
        <v/>
      </c>
      <c r="M841" s="20">
        <f>L841*E841</f>
        <v/>
      </c>
      <c r="N841" s="20" t="n">
        <v>50</v>
      </c>
      <c r="O841" s="20" t="n">
        <v>5</v>
      </c>
      <c r="P841" s="20">
        <f>O841-N841</f>
        <v/>
      </c>
      <c r="Q841" s="20">
        <f>P841*E841</f>
        <v/>
      </c>
      <c r="R841" s="20" t="inlineStr">
        <is>
          <t>Perviz</t>
        </is>
      </c>
    </row>
    <row r="842" ht="20" customHeight="1" s="1">
      <c r="A842" s="21" t="inlineStr">
        <is>
          <t>19949</t>
        </is>
      </c>
      <c r="B842" s="22" t="inlineStr">
        <is>
          <t>Morfose</t>
        </is>
      </c>
      <c r="C842" s="21" t="inlineStr">
        <is>
          <t>8698655381692</t>
        </is>
      </c>
      <c r="D842" s="22" t="inlineStr">
        <is>
          <t>Morfose Sac Spreyi Mega Strong 400ml</t>
        </is>
      </c>
      <c r="E842" s="23" t="n">
        <v>6.5</v>
      </c>
      <c r="F842" s="23" t="n">
        <v>12</v>
      </c>
      <c r="G842" s="23" t="n">
        <v>82</v>
      </c>
      <c r="H842" s="23" t="n"/>
      <c r="I842" s="23" t="n"/>
      <c r="J842" s="23" t="n"/>
      <c r="K842" s="19">
        <f>H842+I842+J842</f>
        <v/>
      </c>
      <c r="L842" s="19">
        <f>K842-G842</f>
        <v/>
      </c>
      <c r="M842" s="20">
        <f>L842*E842</f>
        <v/>
      </c>
      <c r="N842" s="20" t="n">
        <v>50</v>
      </c>
      <c r="O842" s="20" t="n"/>
      <c r="P842" s="20">
        <f>O842-N842</f>
        <v/>
      </c>
      <c r="Q842" s="20">
        <f>P842*E842</f>
        <v/>
      </c>
      <c r="R842" s="20" t="n"/>
    </row>
    <row r="843" ht="20" customHeight="1" s="1">
      <c r="A843" s="16" t="inlineStr">
        <is>
          <t>19951</t>
        </is>
      </c>
      <c r="B843" s="17" t="inlineStr">
        <is>
          <t>Morfose</t>
        </is>
      </c>
      <c r="C843" s="16" t="inlineStr">
        <is>
          <t>8698655383221</t>
        </is>
      </c>
      <c r="D843" s="17" t="inlineStr">
        <is>
          <t>Morfose Sac Spreyi Shining 400ml</t>
        </is>
      </c>
      <c r="E843" s="18" t="n">
        <v>7.5</v>
      </c>
      <c r="F843" s="18" t="n">
        <v>24</v>
      </c>
      <c r="G843" s="18" t="n">
        <v>47</v>
      </c>
      <c r="H843" s="18" t="n"/>
      <c r="I843" s="18" t="n"/>
      <c r="J843" s="18" t="n"/>
      <c r="K843" s="19">
        <f>H843+I843+J843</f>
        <v/>
      </c>
      <c r="L843" s="19">
        <f>K843-G843</f>
        <v/>
      </c>
      <c r="M843" s="20">
        <f>L843*E843</f>
        <v/>
      </c>
      <c r="N843" s="20" t="n">
        <v>50</v>
      </c>
      <c r="O843" s="20" t="n"/>
      <c r="P843" s="20">
        <f>O843-N843</f>
        <v/>
      </c>
      <c r="Q843" s="20">
        <f>P843*E843</f>
        <v/>
      </c>
      <c r="R843" s="20" t="n"/>
    </row>
    <row r="844" ht="20" customHeight="1" s="1">
      <c r="A844" s="21" t="inlineStr">
        <is>
          <t>19952</t>
        </is>
      </c>
      <c r="B844" s="22" t="inlineStr">
        <is>
          <t>Morfose</t>
        </is>
      </c>
      <c r="C844" s="21" t="inlineStr">
        <is>
          <t>8698655383009</t>
        </is>
      </c>
      <c r="D844" s="22" t="inlineStr">
        <is>
          <t>Morfose Sac Spreyi No Qas 400ml</t>
        </is>
      </c>
      <c r="E844" s="23" t="n">
        <v>10.8</v>
      </c>
      <c r="F844" s="23" t="n">
        <v>24</v>
      </c>
      <c r="G844" s="23" t="n">
        <v>221</v>
      </c>
      <c r="H844" s="23" t="n"/>
      <c r="I844" s="23" t="n"/>
      <c r="J844" s="23" t="n"/>
      <c r="K844" s="19">
        <f>H844+I844+J844</f>
        <v/>
      </c>
      <c r="L844" s="19">
        <f>K844-G844</f>
        <v/>
      </c>
      <c r="M844" s="20">
        <f>L844*E844</f>
        <v/>
      </c>
      <c r="N844" s="20" t="n">
        <v>50</v>
      </c>
      <c r="O844" s="20" t="n"/>
      <c r="P844" s="20">
        <f>O844-N844</f>
        <v/>
      </c>
      <c r="Q844" s="20">
        <f>P844*E844</f>
        <v/>
      </c>
      <c r="R844" s="20" t="n"/>
    </row>
    <row r="845" ht="20" customHeight="1" s="1">
      <c r="A845" s="16" t="inlineStr">
        <is>
          <t>19943</t>
        </is>
      </c>
      <c r="B845" s="17" t="inlineStr">
        <is>
          <t>Morfose</t>
        </is>
      </c>
      <c r="C845" s="16" t="inlineStr">
        <is>
          <t>8681701002078</t>
        </is>
      </c>
      <c r="D845" s="17" t="inlineStr">
        <is>
          <t>Morfose Sac Spreyi Extra Strong 300ml</t>
        </is>
      </c>
      <c r="E845" s="18" t="n">
        <v>5.5</v>
      </c>
      <c r="F845" s="18" t="n">
        <v>12</v>
      </c>
      <c r="G845" s="18" t="n">
        <v>57</v>
      </c>
      <c r="H845" s="18" t="n"/>
      <c r="I845" s="18" t="n"/>
      <c r="J845" s="18" t="n"/>
      <c r="K845" s="19">
        <f>H845+I845+J845</f>
        <v/>
      </c>
      <c r="L845" s="19">
        <f>K845-G845</f>
        <v/>
      </c>
      <c r="M845" s="20">
        <f>L845*E845</f>
        <v/>
      </c>
      <c r="N845" s="20" t="n">
        <v>50</v>
      </c>
      <c r="O845" s="20" t="n"/>
      <c r="P845" s="20">
        <f>O845-N845</f>
        <v/>
      </c>
      <c r="Q845" s="20">
        <f>P845*E845</f>
        <v/>
      </c>
      <c r="R845" s="20" t="n"/>
    </row>
    <row r="846" ht="20" customHeight="1" s="1">
      <c r="A846" s="21" t="inlineStr">
        <is>
          <t>19944</t>
        </is>
      </c>
      <c r="B846" s="22" t="inlineStr">
        <is>
          <t>Morfose</t>
        </is>
      </c>
      <c r="C846" s="21" t="inlineStr">
        <is>
          <t>8681701002061</t>
        </is>
      </c>
      <c r="D846" s="22" t="inlineStr">
        <is>
          <t>Morfose Sac Spreyi Ultra Strong 300ml</t>
        </is>
      </c>
      <c r="E846" s="23" t="n">
        <v>5.5</v>
      </c>
      <c r="F846" s="23" t="n">
        <v>12</v>
      </c>
      <c r="G846" s="23" t="n">
        <v>58</v>
      </c>
      <c r="H846" s="23" t="n"/>
      <c r="I846" s="23" t="n"/>
      <c r="J846" s="23" t="n"/>
      <c r="K846" s="19">
        <f>H846+I846+J846</f>
        <v/>
      </c>
      <c r="L846" s="19">
        <f>K846-G846</f>
        <v/>
      </c>
      <c r="M846" s="20">
        <f>L846*E846</f>
        <v/>
      </c>
      <c r="N846" s="20" t="n">
        <v>50</v>
      </c>
      <c r="O846" s="20" t="n"/>
      <c r="P846" s="20">
        <f>O846-N846</f>
        <v/>
      </c>
      <c r="Q846" s="20">
        <f>P846*E846</f>
        <v/>
      </c>
      <c r="R846" s="20" t="n"/>
    </row>
    <row r="847" ht="20" customHeight="1" s="1">
      <c r="A847" s="16" t="inlineStr">
        <is>
          <t>19945</t>
        </is>
      </c>
      <c r="B847" s="17" t="inlineStr">
        <is>
          <t>Morfose</t>
        </is>
      </c>
      <c r="C847" s="16" t="inlineStr">
        <is>
          <t>8681701004850</t>
        </is>
      </c>
      <c r="D847" s="17" t="inlineStr">
        <is>
          <t>Morfose Sac Spreyi Mega Strong Keratin 300ml</t>
        </is>
      </c>
      <c r="E847" s="18" t="n">
        <v>5.5</v>
      </c>
      <c r="F847" s="18" t="n">
        <v>12</v>
      </c>
      <c r="G847" s="18" t="n">
        <v>33</v>
      </c>
      <c r="H847" s="18" t="n"/>
      <c r="I847" s="18" t="n"/>
      <c r="J847" s="18" t="n"/>
      <c r="K847" s="19">
        <f>H847+I847+J847</f>
        <v/>
      </c>
      <c r="L847" s="19">
        <f>K847-G847</f>
        <v/>
      </c>
      <c r="M847" s="20">
        <f>L847*E847</f>
        <v/>
      </c>
      <c r="N847" s="20" t="n">
        <v>50</v>
      </c>
      <c r="O847" s="20" t="n"/>
      <c r="P847" s="20">
        <f>O847-N847</f>
        <v/>
      </c>
      <c r="Q847" s="20">
        <f>P847*E847</f>
        <v/>
      </c>
      <c r="R847" s="20" t="n"/>
    </row>
    <row r="848" ht="20" customHeight="1" s="1">
      <c r="A848" s="21" t="inlineStr">
        <is>
          <t>19946</t>
        </is>
      </c>
      <c r="B848" s="22" t="inlineStr">
        <is>
          <t>Morfose</t>
        </is>
      </c>
      <c r="C848" s="21" t="inlineStr">
        <is>
          <t>8681701004867</t>
        </is>
      </c>
      <c r="D848" s="22" t="inlineStr">
        <is>
          <t>Morfose Sac Spreyi Ultra Strong Argan 300ml</t>
        </is>
      </c>
      <c r="E848" s="23" t="n">
        <v>5.5</v>
      </c>
      <c r="F848" s="23" t="n">
        <v>12</v>
      </c>
      <c r="G848" s="23" t="n">
        <v>41</v>
      </c>
      <c r="H848" s="23" t="n"/>
      <c r="I848" s="23" t="n"/>
      <c r="J848" s="23" t="n"/>
      <c r="K848" s="19">
        <f>H848+I848+J848</f>
        <v/>
      </c>
      <c r="L848" s="19">
        <f>K848-G848</f>
        <v/>
      </c>
      <c r="M848" s="20">
        <f>L848*E848</f>
        <v/>
      </c>
      <c r="N848" s="20" t="n">
        <v>50</v>
      </c>
      <c r="O848" s="20" t="n"/>
      <c r="P848" s="20">
        <f>O848-N848</f>
        <v/>
      </c>
      <c r="Q848" s="20">
        <f>P848*E848</f>
        <v/>
      </c>
      <c r="R848" s="20" t="n"/>
    </row>
    <row r="849" ht="20" customHeight="1" s="1">
      <c r="A849" s="16" t="inlineStr">
        <is>
          <t>19947</t>
        </is>
      </c>
      <c r="B849" s="17" t="inlineStr">
        <is>
          <t>Morfose</t>
        </is>
      </c>
      <c r="C849" s="16" t="inlineStr">
        <is>
          <t>8681701004874</t>
        </is>
      </c>
      <c r="D849" s="17" t="inlineStr">
        <is>
          <t>Morfose Sac Spreyi Milk Therapy 300ml</t>
        </is>
      </c>
      <c r="E849" s="18" t="n">
        <v>6.4</v>
      </c>
      <c r="F849" s="18" t="n">
        <v>12</v>
      </c>
      <c r="G849" s="18" t="n">
        <v>73</v>
      </c>
      <c r="H849" s="18" t="n"/>
      <c r="I849" s="18" t="n"/>
      <c r="J849" s="18" t="n"/>
      <c r="K849" s="19">
        <f>H849+I849+J849</f>
        <v/>
      </c>
      <c r="L849" s="19">
        <f>K849-G849</f>
        <v/>
      </c>
      <c r="M849" s="20">
        <f>L849*E849</f>
        <v/>
      </c>
      <c r="N849" s="20" t="n">
        <v>50</v>
      </c>
      <c r="O849" s="20" t="n"/>
      <c r="P849" s="20">
        <f>O849-N849</f>
        <v/>
      </c>
      <c r="Q849" s="20">
        <f>P849*E849</f>
        <v/>
      </c>
      <c r="R849" s="20" t="n"/>
    </row>
    <row r="850" ht="20" customHeight="1" s="1">
      <c r="A850" s="21" t="inlineStr">
        <is>
          <t>19942</t>
        </is>
      </c>
      <c r="B850" s="22" t="inlineStr">
        <is>
          <t>Morfose</t>
        </is>
      </c>
      <c r="C850" s="21" t="inlineStr">
        <is>
          <t>8681701006946</t>
        </is>
      </c>
      <c r="D850" s="22" t="inlineStr">
        <is>
          <t>Morfose Sac Mumu (wax) Shock Spray 300ml</t>
        </is>
      </c>
      <c r="E850" s="23" t="n">
        <v>7.1</v>
      </c>
      <c r="F850" s="23" t="n">
        <v>24</v>
      </c>
      <c r="G850" s="23" t="n">
        <v>38</v>
      </c>
      <c r="H850" s="23" t="n"/>
      <c r="I850" s="23" t="n"/>
      <c r="J850" s="23" t="n"/>
      <c r="K850" s="19">
        <f>H850+I850+J850</f>
        <v/>
      </c>
      <c r="L850" s="19">
        <f>K850-G850</f>
        <v/>
      </c>
      <c r="M850" s="20">
        <f>L850*E850</f>
        <v/>
      </c>
      <c r="N850" s="20" t="n">
        <v>50</v>
      </c>
      <c r="O850" s="20" t="n"/>
      <c r="P850" s="20">
        <f>O850-N850</f>
        <v/>
      </c>
      <c r="Q850" s="20">
        <f>P850*E850</f>
        <v/>
      </c>
      <c r="R850" s="20" t="n"/>
    </row>
    <row r="851" ht="20" customHeight="1" s="1">
      <c r="A851" s="16" t="inlineStr">
        <is>
          <t>21662</t>
        </is>
      </c>
      <c r="B851" s="17" t="inlineStr">
        <is>
          <t>Morfose</t>
        </is>
      </c>
      <c r="C851" s="16" t="inlineStr">
        <is>
          <t>8681701014095</t>
        </is>
      </c>
      <c r="D851" s="17" t="inlineStr">
        <is>
          <t>Morfose Sac Spreyi Vegan Olive Oil 300ml</t>
        </is>
      </c>
      <c r="E851" s="18" t="n">
        <v>8.9</v>
      </c>
      <c r="F851" s="18" t="n">
        <v>12</v>
      </c>
      <c r="G851" s="18" t="n">
        <v>9</v>
      </c>
      <c r="H851" s="18" t="n"/>
      <c r="I851" s="18" t="n"/>
      <c r="J851" s="18" t="n"/>
      <c r="K851" s="19">
        <f>H851+I851+J851</f>
        <v/>
      </c>
      <c r="L851" s="19">
        <f>K851-G851</f>
        <v/>
      </c>
      <c r="M851" s="20">
        <f>L851*E851</f>
        <v/>
      </c>
      <c r="N851" s="20" t="n">
        <v>50</v>
      </c>
      <c r="O851" s="20" t="n"/>
      <c r="P851" s="20">
        <f>O851-N851</f>
        <v/>
      </c>
      <c r="Q851" s="20">
        <f>P851*E851</f>
        <v/>
      </c>
      <c r="R851" s="20" t="n"/>
    </row>
    <row r="852" ht="20" customHeight="1" s="1">
      <c r="A852" s="21" t="inlineStr">
        <is>
          <t>19938</t>
        </is>
      </c>
      <c r="B852" s="22" t="inlineStr">
        <is>
          <t>Morfose</t>
        </is>
      </c>
      <c r="C852" s="21" t="inlineStr">
        <is>
          <t>8681701003167</t>
        </is>
      </c>
      <c r="D852" s="22" t="inlineStr">
        <is>
          <t>Morfose Sac Spreyi Extra Strong 250ml</t>
        </is>
      </c>
      <c r="E852" s="23" t="n">
        <v>5.3</v>
      </c>
      <c r="F852" s="23" t="n">
        <v>12</v>
      </c>
      <c r="G852" s="23" t="n">
        <v>23</v>
      </c>
      <c r="H852" s="23" t="n"/>
      <c r="I852" s="23" t="n"/>
      <c r="J852" s="23" t="n"/>
      <c r="K852" s="19">
        <f>H852+I852+J852</f>
        <v/>
      </c>
      <c r="L852" s="19">
        <f>K852-G852</f>
        <v/>
      </c>
      <c r="M852" s="20">
        <f>L852*E852</f>
        <v/>
      </c>
      <c r="N852" s="20" t="n">
        <v>50</v>
      </c>
      <c r="O852" s="20" t="n"/>
      <c r="P852" s="20">
        <f>O852-N852</f>
        <v/>
      </c>
      <c r="Q852" s="20">
        <f>P852*E852</f>
        <v/>
      </c>
      <c r="R852" s="20" t="n"/>
    </row>
    <row r="853" ht="20" customHeight="1" s="1">
      <c r="A853" s="16" t="inlineStr">
        <is>
          <t>19940</t>
        </is>
      </c>
      <c r="B853" s="17" t="inlineStr">
        <is>
          <t>Morfose</t>
        </is>
      </c>
      <c r="C853" s="16" t="inlineStr">
        <is>
          <t>8681701007929</t>
        </is>
      </c>
      <c r="D853" s="17" t="inlineStr">
        <is>
          <t>Morfose Sac Spreyi Keratin 250ml</t>
        </is>
      </c>
      <c r="E853" s="18" t="n">
        <v>6.1</v>
      </c>
      <c r="F853" s="18" t="n">
        <v>12</v>
      </c>
      <c r="G853" s="18" t="n">
        <v>47</v>
      </c>
      <c r="H853" s="18" t="n"/>
      <c r="I853" s="18" t="n"/>
      <c r="J853" s="18" t="n"/>
      <c r="K853" s="19">
        <f>H853+I853+J853</f>
        <v/>
      </c>
      <c r="L853" s="19">
        <f>K853-G853</f>
        <v/>
      </c>
      <c r="M853" s="20">
        <f>L853*E853</f>
        <v/>
      </c>
      <c r="N853" s="20" t="n">
        <v>50</v>
      </c>
      <c r="O853" s="20" t="n"/>
      <c r="P853" s="20">
        <f>O853-N853</f>
        <v/>
      </c>
      <c r="Q853" s="20">
        <f>P853*E853</f>
        <v/>
      </c>
      <c r="R853" s="20" t="n"/>
    </row>
    <row r="854" ht="20" customHeight="1" s="1">
      <c r="A854" s="21" t="inlineStr">
        <is>
          <t>19941</t>
        </is>
      </c>
      <c r="B854" s="22" t="inlineStr">
        <is>
          <t>Morfose</t>
        </is>
      </c>
      <c r="C854" s="21" t="inlineStr">
        <is>
          <t>8681701007936</t>
        </is>
      </c>
      <c r="D854" s="22" t="inlineStr">
        <is>
          <t>Morfose Sac Spreyi Kolajen 250ml</t>
        </is>
      </c>
      <c r="E854" s="23" t="n">
        <v>6.1</v>
      </c>
      <c r="F854" s="23" t="n">
        <v>12</v>
      </c>
      <c r="G854" s="23" t="n">
        <v>24</v>
      </c>
      <c r="H854" s="23" t="n"/>
      <c r="I854" s="23" t="n"/>
      <c r="J854" s="23" t="n"/>
      <c r="K854" s="19" t="n"/>
      <c r="L854" s="19" t="n"/>
      <c r="M854" s="20" t="n"/>
      <c r="N854" s="20" t="n">
        <v>50</v>
      </c>
      <c r="O854" s="20" t="n"/>
      <c r="P854" s="20">
        <f>O854-N854</f>
        <v/>
      </c>
      <c r="Q854" s="20">
        <f>P854*E854</f>
        <v/>
      </c>
      <c r="R854" s="20" t="n"/>
    </row>
    <row r="855" ht="20" customHeight="1" s="1">
      <c r="A855" s="16" t="inlineStr">
        <is>
          <t>19957</t>
        </is>
      </c>
      <c r="B855" s="17" t="inlineStr">
        <is>
          <t>Morfose</t>
        </is>
      </c>
      <c r="C855" s="16" t="inlineStr">
        <is>
          <t>8680678820722</t>
        </is>
      </c>
      <c r="D855" s="17" t="inlineStr">
        <is>
          <t>Morfose Sac Kopuyu Extra Strong Siyah 350ml</t>
        </is>
      </c>
      <c r="E855" s="18" t="n">
        <v>8.4</v>
      </c>
      <c r="F855" s="18" t="n">
        <v>24</v>
      </c>
      <c r="G855" s="18" t="n">
        <v>33</v>
      </c>
      <c r="H855" s="18" t="n"/>
      <c r="I855" s="18" t="n"/>
      <c r="J855" s="18" t="n"/>
      <c r="K855" s="19">
        <f>H855+I855+J855</f>
        <v/>
      </c>
      <c r="L855" s="19">
        <f>K855-G855</f>
        <v/>
      </c>
      <c r="M855" s="20">
        <f>L855*E855</f>
        <v/>
      </c>
      <c r="N855" s="20" t="n">
        <v>50</v>
      </c>
      <c r="O855" s="20" t="n"/>
      <c r="P855" s="20">
        <f>O855-N855</f>
        <v/>
      </c>
      <c r="Q855" s="20">
        <f>P855*E855</f>
        <v/>
      </c>
      <c r="R855" s="20" t="n"/>
    </row>
    <row r="856" ht="20" customHeight="1" s="1">
      <c r="A856" s="21" t="inlineStr">
        <is>
          <t>19960</t>
        </is>
      </c>
      <c r="B856" s="22" t="inlineStr">
        <is>
          <t>Morfose</t>
        </is>
      </c>
      <c r="C856" s="21" t="inlineStr">
        <is>
          <t>8698655380114</t>
        </is>
      </c>
      <c r="D856" s="22" t="inlineStr">
        <is>
          <t>Morfose Sac Kopuyu Ultra Strong Turuncu 350ml</t>
        </is>
      </c>
      <c r="E856" s="23" t="n">
        <v>8.4</v>
      </c>
      <c r="F856" s="23" t="n">
        <v>24</v>
      </c>
      <c r="G856" s="23" t="n">
        <v>56</v>
      </c>
      <c r="H856" s="23" t="n"/>
      <c r="I856" s="23" t="n"/>
      <c r="J856" s="23" t="n"/>
      <c r="K856" s="19">
        <f>H856+I856+J856</f>
        <v/>
      </c>
      <c r="L856" s="19">
        <f>K856-G856</f>
        <v/>
      </c>
      <c r="M856" s="20">
        <f>L856*E856</f>
        <v/>
      </c>
      <c r="N856" s="20" t="n">
        <v>50</v>
      </c>
      <c r="O856" s="20" t="n"/>
      <c r="P856" s="20">
        <f>O856-N856</f>
        <v/>
      </c>
      <c r="Q856" s="20">
        <f>P856*E856</f>
        <v/>
      </c>
      <c r="R856" s="20" t="n"/>
    </row>
    <row r="857" ht="20" customHeight="1" s="1">
      <c r="A857" s="16" t="inlineStr">
        <is>
          <t>21013</t>
        </is>
      </c>
      <c r="B857" s="17" t="inlineStr">
        <is>
          <t>Morfose</t>
        </is>
      </c>
      <c r="C857" s="16" t="inlineStr">
        <is>
          <t>8681701010752</t>
        </is>
      </c>
      <c r="D857" s="17" t="inlineStr">
        <is>
          <t>Morfose Sac Kopuyu Milk Therapy 350ml</t>
        </is>
      </c>
      <c r="E857" s="18" t="n">
        <v>9.199999999999999</v>
      </c>
      <c r="F857" s="18" t="n">
        <v>24</v>
      </c>
      <c r="G857" s="18" t="n">
        <v>53</v>
      </c>
      <c r="H857" s="18" t="n"/>
      <c r="I857" s="18" t="n"/>
      <c r="J857" s="18" t="n"/>
      <c r="K857" s="19">
        <f>H857+I857+J857</f>
        <v/>
      </c>
      <c r="L857" s="19">
        <f>K857-G857</f>
        <v/>
      </c>
      <c r="M857" s="20">
        <f>L857*E857</f>
        <v/>
      </c>
      <c r="N857" s="20" t="n">
        <v>50</v>
      </c>
      <c r="O857" s="20" t="n"/>
      <c r="P857" s="20">
        <f>O857-N857</f>
        <v/>
      </c>
      <c r="Q857" s="20">
        <f>P857*E857</f>
        <v/>
      </c>
      <c r="R857" s="20" t="n"/>
    </row>
    <row r="858" ht="20" customHeight="1" s="1">
      <c r="A858" s="21" t="inlineStr">
        <is>
          <t>21189</t>
        </is>
      </c>
      <c r="B858" s="22" t="inlineStr">
        <is>
          <t>Morfose</t>
        </is>
      </c>
      <c r="C858" s="21" t="inlineStr">
        <is>
          <t>8681701007943</t>
        </is>
      </c>
      <c r="D858" s="22" t="inlineStr">
        <is>
          <t>Morfose Sac Kopuyu Keratin 200ml</t>
        </is>
      </c>
      <c r="E858" s="23" t="n">
        <v>7.2</v>
      </c>
      <c r="F858" s="23" t="n">
        <v>24</v>
      </c>
      <c r="G858" s="23" t="n">
        <v>72</v>
      </c>
      <c r="H858" s="23" t="n"/>
      <c r="I858" s="23" t="n"/>
      <c r="J858" s="23" t="n"/>
      <c r="K858" s="19">
        <f>H858+I858+J858</f>
        <v/>
      </c>
      <c r="L858" s="19">
        <f>K858-G858</f>
        <v/>
      </c>
      <c r="M858" s="20">
        <f>L858*E858</f>
        <v/>
      </c>
      <c r="N858" s="20" t="n">
        <v>50</v>
      </c>
      <c r="O858" s="20" t="n"/>
      <c r="P858" s="20">
        <f>O858-N858</f>
        <v/>
      </c>
      <c r="Q858" s="20">
        <f>P858*E858</f>
        <v/>
      </c>
      <c r="R858" s="20" t="n"/>
    </row>
    <row r="859" ht="20" customHeight="1" s="1">
      <c r="A859" s="16" t="inlineStr">
        <is>
          <t>21190</t>
        </is>
      </c>
      <c r="B859" s="17" t="inlineStr">
        <is>
          <t>Morfose</t>
        </is>
      </c>
      <c r="C859" s="16" t="inlineStr">
        <is>
          <t>8681701007950</t>
        </is>
      </c>
      <c r="D859" s="17" t="inlineStr">
        <is>
          <t>Morfose Sac Kopuyu Kolajen 200ml</t>
        </is>
      </c>
      <c r="E859" s="18" t="n">
        <v>7.2</v>
      </c>
      <c r="F859" s="18" t="n">
        <v>24</v>
      </c>
      <c r="G859" s="18" t="n">
        <v>48</v>
      </c>
      <c r="H859" s="18" t="n"/>
      <c r="I859" s="18" t="n"/>
      <c r="J859" s="18" t="n"/>
      <c r="K859" s="19">
        <f>H859+I859+J859</f>
        <v/>
      </c>
      <c r="L859" s="19">
        <f>K859-G859</f>
        <v/>
      </c>
      <c r="M859" s="20">
        <f>L859*E859</f>
        <v/>
      </c>
      <c r="N859" s="20" t="n">
        <v>50</v>
      </c>
      <c r="O859" s="20" t="n"/>
      <c r="P859" s="20">
        <f>O859-N859</f>
        <v/>
      </c>
      <c r="Q859" s="20">
        <f>P859*E859</f>
        <v/>
      </c>
      <c r="R859" s="20" t="n"/>
    </row>
    <row r="860" ht="20" customHeight="1" s="1">
      <c r="A860" s="21" t="inlineStr">
        <is>
          <t>19954</t>
        </is>
      </c>
      <c r="B860" s="22" t="inlineStr">
        <is>
          <t>Morfose</t>
        </is>
      </c>
      <c r="C860" s="21" t="inlineStr">
        <is>
          <t>8681701004249</t>
        </is>
      </c>
      <c r="D860" s="22" t="inlineStr">
        <is>
          <t>Morfose Sac Kopuyu Extra Strong Siyah 200ml</t>
        </is>
      </c>
      <c r="E860" s="23" t="n">
        <v>6.4</v>
      </c>
      <c r="F860" s="23" t="n">
        <v>24</v>
      </c>
      <c r="G860" s="23" t="n">
        <v>66</v>
      </c>
      <c r="H860" s="23" t="n"/>
      <c r="I860" s="23" t="n"/>
      <c r="J860" s="23" t="n"/>
      <c r="K860" s="19">
        <f>H860+I860+J860</f>
        <v/>
      </c>
      <c r="L860" s="19">
        <f>K860-G860</f>
        <v/>
      </c>
      <c r="M860" s="20">
        <f>L860*E860</f>
        <v/>
      </c>
      <c r="N860" s="20" t="n">
        <v>50</v>
      </c>
      <c r="O860" s="20" t="n"/>
      <c r="P860" s="20">
        <f>O860-N860</f>
        <v/>
      </c>
      <c r="Q860" s="20">
        <f>P860*E860</f>
        <v/>
      </c>
      <c r="R860" s="20" t="n"/>
    </row>
    <row r="861" ht="20" customHeight="1" s="1">
      <c r="A861" s="16" t="inlineStr">
        <is>
          <t>19955</t>
        </is>
      </c>
      <c r="B861" s="17" t="inlineStr">
        <is>
          <t>Morfose</t>
        </is>
      </c>
      <c r="C861" s="16" t="inlineStr">
        <is>
          <t>8681701004256</t>
        </is>
      </c>
      <c r="D861" s="17" t="inlineStr">
        <is>
          <t>Morfose Sac Kopuyu Ultra Strong Turuncu 200ml</t>
        </is>
      </c>
      <c r="E861" s="18" t="n">
        <v>6.4</v>
      </c>
      <c r="F861" s="18" t="n">
        <v>24</v>
      </c>
      <c r="G861" s="18" t="n">
        <v>73</v>
      </c>
      <c r="H861" s="18" t="n"/>
      <c r="I861" s="18" t="n"/>
      <c r="J861" s="18" t="n"/>
      <c r="K861" s="19">
        <f>H861+I861+J861</f>
        <v/>
      </c>
      <c r="L861" s="19">
        <f>K861-G861</f>
        <v/>
      </c>
      <c r="M861" s="20">
        <f>L861*E861</f>
        <v/>
      </c>
      <c r="N861" s="20" t="n">
        <v>50</v>
      </c>
      <c r="O861" s="20" t="n"/>
      <c r="P861" s="20">
        <f>O861-N861</f>
        <v/>
      </c>
      <c r="Q861" s="20">
        <f>P861*E861</f>
        <v/>
      </c>
      <c r="R861" s="20" t="n"/>
    </row>
    <row r="862" ht="20" customHeight="1" s="1">
      <c r="A862" s="21" t="inlineStr">
        <is>
          <t>20803</t>
        </is>
      </c>
      <c r="B862" s="22" t="inlineStr">
        <is>
          <t>Morfose</t>
        </is>
      </c>
      <c r="C862" s="21" t="inlineStr">
        <is>
          <t>8680678830493</t>
        </is>
      </c>
      <c r="D862" s="22" t="inlineStr">
        <is>
          <t>Morfose Sac Kopuyu Kondisioner Milk Therapy 200ml</t>
        </is>
      </c>
      <c r="E862" s="23" t="n">
        <v>8.699999999999999</v>
      </c>
      <c r="F862" s="23" t="n">
        <v>24</v>
      </c>
      <c r="G862" s="23" t="n">
        <v>60</v>
      </c>
      <c r="H862" s="23" t="n"/>
      <c r="I862" s="23" t="n"/>
      <c r="J862" s="23" t="n"/>
      <c r="K862" s="19">
        <f>H862+I862+J862</f>
        <v/>
      </c>
      <c r="L862" s="19">
        <f>K862-G862</f>
        <v/>
      </c>
      <c r="M862" s="20">
        <f>L862*E862</f>
        <v/>
      </c>
      <c r="N862" s="20" t="n">
        <v>50</v>
      </c>
      <c r="O862" s="20" t="n"/>
      <c r="P862" s="20">
        <f>O862-N862</f>
        <v/>
      </c>
      <c r="Q862" s="20">
        <f>P862*E862</f>
        <v/>
      </c>
      <c r="R862" s="20" t="n"/>
    </row>
    <row r="863" ht="20" customHeight="1" s="1">
      <c r="A863" s="16" t="inlineStr">
        <is>
          <t>19956</t>
        </is>
      </c>
      <c r="B863" s="17" t="inlineStr">
        <is>
          <t>Morfose</t>
        </is>
      </c>
      <c r="C863" s="16" t="inlineStr">
        <is>
          <t>8680678800052</t>
        </is>
      </c>
      <c r="D863" s="17" t="inlineStr">
        <is>
          <t>Morfose Sac Kopuyu Milk Therapy Clasic 200ml</t>
        </is>
      </c>
      <c r="E863" s="18" t="n">
        <v>7.9</v>
      </c>
      <c r="F863" s="18" t="n">
        <v>24</v>
      </c>
      <c r="G863" s="18" t="n">
        <v>131</v>
      </c>
      <c r="H863" s="18" t="n"/>
      <c r="I863" s="18" t="n"/>
      <c r="J863" s="18" t="n"/>
      <c r="K863" s="19">
        <f>H863+I863+J863</f>
        <v/>
      </c>
      <c r="L863" s="19">
        <f>K863-G863</f>
        <v/>
      </c>
      <c r="M863" s="20">
        <f>L863*E863</f>
        <v/>
      </c>
      <c r="N863" s="20" t="n">
        <v>50</v>
      </c>
      <c r="O863" s="20" t="n"/>
      <c r="P863" s="20">
        <f>O863-N863</f>
        <v/>
      </c>
      <c r="Q863" s="20">
        <f>P863*E863</f>
        <v/>
      </c>
      <c r="R863" s="20" t="n"/>
    </row>
    <row r="864" ht="20" customHeight="1" s="1">
      <c r="A864" s="21" t="inlineStr">
        <is>
          <t>20802</t>
        </is>
      </c>
      <c r="B864" s="22" t="inlineStr">
        <is>
          <t>Morfose</t>
        </is>
      </c>
      <c r="C864" s="21" t="inlineStr">
        <is>
          <t>8681701007998</t>
        </is>
      </c>
      <c r="D864" s="22" t="inlineStr">
        <is>
          <t>Morfose Sac Kopuyu Milk Therapy 60ml</t>
        </is>
      </c>
      <c r="E864" s="23" t="n">
        <v>6.2</v>
      </c>
      <c r="F864" s="23" t="n">
        <v>24</v>
      </c>
      <c r="G864" s="23" t="n">
        <v>48</v>
      </c>
      <c r="H864" s="23" t="n"/>
      <c r="I864" s="23" t="n"/>
      <c r="J864" s="23" t="n"/>
      <c r="K864" s="19">
        <f>H864+I864+J864</f>
        <v/>
      </c>
      <c r="L864" s="19">
        <f>K864-G864</f>
        <v/>
      </c>
      <c r="M864" s="20">
        <f>L864*E864</f>
        <v/>
      </c>
      <c r="N864" s="20" t="n">
        <v>50</v>
      </c>
      <c r="O864" s="20" t="n"/>
      <c r="P864" s="20">
        <f>O864-N864</f>
        <v/>
      </c>
      <c r="Q864" s="20">
        <f>P864*E864</f>
        <v/>
      </c>
      <c r="R864" s="20" t="n"/>
    </row>
    <row r="865" ht="20" customHeight="1" s="1">
      <c r="A865" s="16" t="inlineStr">
        <is>
          <t>21191</t>
        </is>
      </c>
      <c r="B865" s="17" t="inlineStr">
        <is>
          <t>Morfose</t>
        </is>
      </c>
      <c r="C865" s="16" t="inlineStr">
        <is>
          <t>8681701012459</t>
        </is>
      </c>
      <c r="D865" s="17" t="inlineStr">
        <is>
          <t>Morfose Sac Spreyi Ultra Strong 75ml</t>
        </is>
      </c>
      <c r="E865" s="18" t="n">
        <v>4.3</v>
      </c>
      <c r="F865" s="18" t="n">
        <v>12</v>
      </c>
      <c r="G865" s="18" t="n">
        <v>14</v>
      </c>
      <c r="H865" s="18" t="n"/>
      <c r="I865" s="18" t="n"/>
      <c r="J865" s="18" t="n"/>
      <c r="K865" s="19" t="n"/>
      <c r="L865" s="19" t="n"/>
      <c r="M865" s="20" t="n"/>
      <c r="N865" s="20" t="n">
        <v>50</v>
      </c>
      <c r="O865" s="20" t="n"/>
      <c r="P865" s="20">
        <f>O865-N865</f>
        <v/>
      </c>
      <c r="Q865" s="20">
        <f>P865*E865</f>
        <v/>
      </c>
      <c r="R865" s="20" t="n"/>
    </row>
    <row r="866" ht="20" customHeight="1" s="1">
      <c r="A866" s="21" t="inlineStr">
        <is>
          <t>19972</t>
        </is>
      </c>
      <c r="B866" s="22" t="inlineStr">
        <is>
          <t>Morfose</t>
        </is>
      </c>
      <c r="C866" s="21" t="inlineStr">
        <is>
          <t>8680678831124</t>
        </is>
      </c>
      <c r="D866" s="22" t="inlineStr">
        <is>
          <t>Morfose Sampun Argan 1000ml</t>
        </is>
      </c>
      <c r="E866" s="23" t="n">
        <v>12.1</v>
      </c>
      <c r="F866" s="23" t="n">
        <v>12</v>
      </c>
      <c r="G866" s="23" t="n">
        <v>38</v>
      </c>
      <c r="H866" s="23" t="n"/>
      <c r="I866" s="23" t="n"/>
      <c r="J866" s="23" t="n"/>
      <c r="K866" s="19">
        <f>H866+I866+J866</f>
        <v/>
      </c>
      <c r="L866" s="19">
        <f>K866-G866</f>
        <v/>
      </c>
      <c r="M866" s="20">
        <f>L866*E866</f>
        <v/>
      </c>
      <c r="N866" s="20" t="n">
        <v>50</v>
      </c>
      <c r="O866" s="20" t="n"/>
      <c r="P866" s="20">
        <f>O866-N866</f>
        <v/>
      </c>
      <c r="Q866" s="20">
        <f>P866*E866</f>
        <v/>
      </c>
      <c r="R866" s="20" t="n"/>
    </row>
    <row r="867" ht="20" customHeight="1" s="1">
      <c r="A867" s="16" t="inlineStr">
        <is>
          <t>19973</t>
        </is>
      </c>
      <c r="B867" s="17" t="inlineStr">
        <is>
          <t>Morfose</t>
        </is>
      </c>
      <c r="C867" s="16" t="inlineStr">
        <is>
          <t>8680678831148</t>
        </is>
      </c>
      <c r="D867" s="17" t="inlineStr">
        <is>
          <t>Morfose Sampun Keratin 1000ml</t>
        </is>
      </c>
      <c r="E867" s="18" t="n">
        <v>12.1</v>
      </c>
      <c r="F867" s="18" t="n">
        <v>12</v>
      </c>
      <c r="G867" s="18" t="n">
        <v>61</v>
      </c>
      <c r="H867" s="18" t="n"/>
      <c r="I867" s="18" t="n"/>
      <c r="J867" s="18" t="n"/>
      <c r="K867" s="19">
        <f>H867+I867+J867</f>
        <v/>
      </c>
      <c r="L867" s="19">
        <f>K867-G867</f>
        <v/>
      </c>
      <c r="M867" s="20">
        <f>L867*E867</f>
        <v/>
      </c>
      <c r="N867" s="20" t="n">
        <v>50</v>
      </c>
      <c r="O867" s="20" t="n"/>
      <c r="P867" s="20">
        <f>O867-N867</f>
        <v/>
      </c>
      <c r="Q867" s="20">
        <f>P867*E867</f>
        <v/>
      </c>
      <c r="R867" s="20" t="n"/>
    </row>
    <row r="868" ht="20" customHeight="1" s="1">
      <c r="A868" s="21" t="inlineStr">
        <is>
          <t>19974</t>
        </is>
      </c>
      <c r="B868" s="22" t="inlineStr">
        <is>
          <t>Morfose</t>
        </is>
      </c>
      <c r="C868" s="21" t="inlineStr">
        <is>
          <t>8680678831131</t>
        </is>
      </c>
      <c r="D868" s="22" t="inlineStr">
        <is>
          <t>Morfose Sampun Kolajen 1000ml</t>
        </is>
      </c>
      <c r="E868" s="23" t="n">
        <v>12.1</v>
      </c>
      <c r="F868" s="23" t="n">
        <v>12</v>
      </c>
      <c r="G868" s="23" t="n">
        <v>30</v>
      </c>
      <c r="H868" s="23" t="n"/>
      <c r="I868" s="23" t="n"/>
      <c r="J868" s="23" t="n"/>
      <c r="K868" s="19">
        <f>H868+I868+J868</f>
        <v/>
      </c>
      <c r="L868" s="19">
        <f>K868-G868</f>
        <v/>
      </c>
      <c r="M868" s="20">
        <f>L868*E868</f>
        <v/>
      </c>
      <c r="N868" s="20" t="n">
        <v>50</v>
      </c>
      <c r="O868" s="20" t="n"/>
      <c r="P868" s="20">
        <f>O868-N868</f>
        <v/>
      </c>
      <c r="Q868" s="20">
        <f>P868*E868</f>
        <v/>
      </c>
      <c r="R868" s="20" t="n"/>
    </row>
    <row r="869" ht="20" customHeight="1" s="1">
      <c r="A869" s="16" t="inlineStr">
        <is>
          <t>19975</t>
        </is>
      </c>
      <c r="B869" s="17" t="inlineStr">
        <is>
          <t>Morfose</t>
        </is>
      </c>
      <c r="C869" s="16" t="inlineStr">
        <is>
          <t>8681701001460</t>
        </is>
      </c>
      <c r="D869" s="17" t="inlineStr">
        <is>
          <t>Morfose Sampun Biyotin 1000ml</t>
        </is>
      </c>
      <c r="E869" s="18" t="n">
        <v>12.1</v>
      </c>
      <c r="F869" s="18" t="n">
        <v>12</v>
      </c>
      <c r="G869" s="18" t="n">
        <v>25</v>
      </c>
      <c r="H869" s="18" t="n"/>
      <c r="I869" s="18" t="n"/>
      <c r="J869" s="18" t="n"/>
      <c r="K869" s="19">
        <f>H869+I869+J869</f>
        <v/>
      </c>
      <c r="L869" s="19">
        <f>K869-G869</f>
        <v/>
      </c>
      <c r="M869" s="20">
        <f>L869*E869</f>
        <v/>
      </c>
      <c r="N869" s="20" t="n">
        <v>50</v>
      </c>
      <c r="O869" s="20" t="n"/>
      <c r="P869" s="20">
        <f>O869-N869</f>
        <v/>
      </c>
      <c r="Q869" s="20">
        <f>P869*E869</f>
        <v/>
      </c>
      <c r="R869" s="20" t="n"/>
    </row>
    <row r="870" ht="20" customHeight="1" s="1">
      <c r="A870" s="21" t="inlineStr">
        <is>
          <t>19976</t>
        </is>
      </c>
      <c r="B870" s="22" t="inlineStr">
        <is>
          <t>Morfose</t>
        </is>
      </c>
      <c r="C870" s="21" t="inlineStr">
        <is>
          <t>8680678837713</t>
        </is>
      </c>
      <c r="D870" s="22" t="inlineStr">
        <is>
          <t>Morfose Sampun Milk Therapy 1000ml</t>
        </is>
      </c>
      <c r="E870" s="23" t="n">
        <v>13.2</v>
      </c>
      <c r="F870" s="23" t="n">
        <v>12</v>
      </c>
      <c r="G870" s="23" t="n">
        <v>127</v>
      </c>
      <c r="H870" s="23" t="n"/>
      <c r="I870" s="23" t="n"/>
      <c r="J870" s="23" t="n"/>
      <c r="K870" s="19">
        <f>H870+I870+J870</f>
        <v/>
      </c>
      <c r="L870" s="19">
        <f>K870-G870</f>
        <v/>
      </c>
      <c r="M870" s="20">
        <f>L870*E870</f>
        <v/>
      </c>
      <c r="N870" s="20" t="n">
        <v>50</v>
      </c>
      <c r="O870" s="20" t="n">
        <v>60</v>
      </c>
      <c r="P870" s="20">
        <f>O870-N870</f>
        <v/>
      </c>
      <c r="Q870" s="20">
        <f>P870*E870</f>
        <v/>
      </c>
      <c r="R870" s="20" t="inlineStr">
        <is>
          <t>Elmir</t>
        </is>
      </c>
    </row>
    <row r="871" ht="20" customHeight="1" s="1">
      <c r="A871" s="16" t="inlineStr">
        <is>
          <t>19977</t>
        </is>
      </c>
      <c r="B871" s="17" t="inlineStr">
        <is>
          <t>Morfose</t>
        </is>
      </c>
      <c r="C871" s="16" t="inlineStr">
        <is>
          <t>8698655383139</t>
        </is>
      </c>
      <c r="D871" s="17" t="inlineStr">
        <is>
          <t>Morfose Sampun Bitkisel 1000ml</t>
        </is>
      </c>
      <c r="E871" s="18" t="n">
        <v>10.5</v>
      </c>
      <c r="F871" s="18" t="n">
        <v>12</v>
      </c>
      <c r="G871" s="18" t="n">
        <v>40</v>
      </c>
      <c r="H871" s="18" t="n"/>
      <c r="I871" s="18" t="n"/>
      <c r="J871" s="18" t="n"/>
      <c r="K871" s="19" t="n"/>
      <c r="L871" s="19" t="n"/>
      <c r="M871" s="20" t="n"/>
      <c r="N871" s="20" t="n">
        <v>50</v>
      </c>
      <c r="O871" s="20" t="n"/>
      <c r="P871" s="20">
        <f>O871-N871</f>
        <v/>
      </c>
      <c r="Q871" s="20">
        <f>P871*E871</f>
        <v/>
      </c>
      <c r="R871" s="20" t="n"/>
    </row>
    <row r="872" ht="20" customHeight="1" s="1">
      <c r="A872" s="21" t="inlineStr">
        <is>
          <t>19978</t>
        </is>
      </c>
      <c r="B872" s="22" t="inlineStr">
        <is>
          <t>Morfose</t>
        </is>
      </c>
      <c r="C872" s="21" t="inlineStr">
        <is>
          <t>8681701001385</t>
        </is>
      </c>
      <c r="D872" s="22" t="inlineStr">
        <is>
          <t>Morfose Sampun Silver 1000ml</t>
        </is>
      </c>
      <c r="E872" s="23" t="n">
        <v>14.5</v>
      </c>
      <c r="F872" s="23" t="n">
        <v>12</v>
      </c>
      <c r="G872" s="23" t="n">
        <v>88</v>
      </c>
      <c r="H872" s="23" t="n"/>
      <c r="I872" s="23" t="n"/>
      <c r="J872" s="23" t="n"/>
      <c r="K872" s="19">
        <f>H872+I872+J872</f>
        <v/>
      </c>
      <c r="L872" s="19">
        <f>K872-G872</f>
        <v/>
      </c>
      <c r="M872" s="20">
        <f>L872*E872</f>
        <v/>
      </c>
      <c r="N872" s="20" t="n">
        <v>50</v>
      </c>
      <c r="O872" s="20" t="n"/>
      <c r="P872" s="20">
        <f>O872-N872</f>
        <v/>
      </c>
      <c r="Q872" s="20">
        <f>P872*E872</f>
        <v/>
      </c>
      <c r="R872" s="20" t="n"/>
    </row>
    <row r="873" ht="20" customHeight="1" s="1">
      <c r="A873" s="16" t="inlineStr">
        <is>
          <t>19982</t>
        </is>
      </c>
      <c r="B873" s="17" t="inlineStr">
        <is>
          <t>Morfose</t>
        </is>
      </c>
      <c r="C873" s="16" t="inlineStr">
        <is>
          <t>8681701006656</t>
        </is>
      </c>
      <c r="D873" s="17" t="inlineStr">
        <is>
          <t>Morfose Sampun Karbon 1000ml</t>
        </is>
      </c>
      <c r="E873" s="18" t="n">
        <v>16</v>
      </c>
      <c r="F873" s="18" t="n">
        <v>12</v>
      </c>
      <c r="G873" s="18" t="n">
        <v>54</v>
      </c>
      <c r="H873" s="18" t="n"/>
      <c r="I873" s="18" t="n"/>
      <c r="J873" s="18" t="n"/>
      <c r="K873" s="19">
        <f>H873+I873+J873</f>
        <v/>
      </c>
      <c r="L873" s="19">
        <f>K873-G873</f>
        <v/>
      </c>
      <c r="M873" s="20">
        <f>L873*E873</f>
        <v/>
      </c>
      <c r="N873" s="20" t="n">
        <v>50</v>
      </c>
      <c r="O873" s="20" t="n"/>
      <c r="P873" s="20">
        <f>O873-N873</f>
        <v/>
      </c>
      <c r="Q873" s="20">
        <f>P873*E873</f>
        <v/>
      </c>
      <c r="R873" s="20" t="n"/>
    </row>
    <row r="874" ht="20" customHeight="1" s="1">
      <c r="A874" s="21" t="inlineStr">
        <is>
          <t>19984</t>
        </is>
      </c>
      <c r="B874" s="22" t="inlineStr">
        <is>
          <t>Morfose</t>
        </is>
      </c>
      <c r="C874" s="21" t="inlineStr">
        <is>
          <t>8681701008216</t>
        </is>
      </c>
      <c r="D874" s="22" t="inlineStr">
        <is>
          <t>Morfose Sampun Milk Biotin+Retinol No Salt Sulfate 1000ml</t>
        </is>
      </c>
      <c r="E874" s="23" t="n">
        <v>17.5</v>
      </c>
      <c r="F874" s="23" t="n">
        <v>12</v>
      </c>
      <c r="G874" s="23" t="n">
        <v>19</v>
      </c>
      <c r="H874" s="23" t="n"/>
      <c r="I874" s="23" t="n"/>
      <c r="J874" s="23" t="n"/>
      <c r="K874" s="19" t="n"/>
      <c r="L874" s="19" t="n"/>
      <c r="M874" s="20" t="n"/>
      <c r="N874" s="20" t="n">
        <v>50</v>
      </c>
      <c r="O874" s="20" t="n"/>
      <c r="P874" s="20">
        <f>O874-N874</f>
        <v/>
      </c>
      <c r="Q874" s="20">
        <f>P874*E874</f>
        <v/>
      </c>
      <c r="R874" s="20" t="n"/>
    </row>
    <row r="875" ht="20" customHeight="1" s="1">
      <c r="A875" s="16" t="inlineStr">
        <is>
          <t>19986</t>
        </is>
      </c>
      <c r="B875" s="17" t="inlineStr">
        <is>
          <t>Morfose</t>
        </is>
      </c>
      <c r="C875" s="16" t="inlineStr">
        <is>
          <t>8681701008032</t>
        </is>
      </c>
      <c r="D875" s="17" t="inlineStr">
        <is>
          <t>Morfose Sampun Milk Keratin 1000ml</t>
        </is>
      </c>
      <c r="E875" s="18" t="n">
        <v>17.5</v>
      </c>
      <c r="F875" s="18" t="n">
        <v>12</v>
      </c>
      <c r="G875" s="18" t="n">
        <v>50</v>
      </c>
      <c r="H875" s="18" t="n"/>
      <c r="I875" s="18" t="n"/>
      <c r="J875" s="18" t="n"/>
      <c r="K875" s="19">
        <f>H875+I875+J875</f>
        <v/>
      </c>
      <c r="L875" s="19">
        <f>K875-G875</f>
        <v/>
      </c>
      <c r="M875" s="20">
        <f>L875*E875</f>
        <v/>
      </c>
      <c r="N875" s="20" t="n">
        <v>50</v>
      </c>
      <c r="O875" s="20" t="n"/>
      <c r="P875" s="20">
        <f>O875-N875</f>
        <v/>
      </c>
      <c r="Q875" s="20">
        <f>P875*E875</f>
        <v/>
      </c>
      <c r="R875" s="20" t="n"/>
    </row>
    <row r="876" ht="20" customHeight="1" s="1">
      <c r="A876" s="21" t="inlineStr">
        <is>
          <t>19981</t>
        </is>
      </c>
      <c r="B876" s="22" t="inlineStr">
        <is>
          <t>Morfose</t>
        </is>
      </c>
      <c r="C876" s="21" t="inlineStr">
        <is>
          <t>8681701006755</t>
        </is>
      </c>
      <c r="D876" s="22" t="inlineStr">
        <is>
          <t>Morfose Sampun Sulphate Free Kinoa Protein 1000ml</t>
        </is>
      </c>
      <c r="E876" s="23" t="n">
        <v>16.3</v>
      </c>
      <c r="F876" s="23" t="n">
        <v>12</v>
      </c>
      <c r="G876" s="23" t="n">
        <v>42</v>
      </c>
      <c r="H876" s="23" t="n"/>
      <c r="I876" s="23" t="n"/>
      <c r="J876" s="23" t="n"/>
      <c r="K876" s="19">
        <f>H876+I876+J876</f>
        <v/>
      </c>
      <c r="L876" s="19">
        <f>K876-G876</f>
        <v/>
      </c>
      <c r="M876" s="20">
        <f>L876*E876</f>
        <v/>
      </c>
      <c r="N876" s="20" t="n">
        <v>50</v>
      </c>
      <c r="O876" s="20" t="n"/>
      <c r="P876" s="20">
        <f>O876-N876</f>
        <v/>
      </c>
      <c r="Q876" s="20">
        <f>P876*E876</f>
        <v/>
      </c>
      <c r="R876" s="20" t="n"/>
    </row>
    <row r="877" ht="20" customHeight="1" s="1">
      <c r="A877" s="16" t="inlineStr">
        <is>
          <t>20292</t>
        </is>
      </c>
      <c r="B877" s="17" t="inlineStr">
        <is>
          <t>Morfose</t>
        </is>
      </c>
      <c r="C877" s="16" t="inlineStr">
        <is>
          <t>8681701008322</t>
        </is>
      </c>
      <c r="D877" s="17" t="inlineStr">
        <is>
          <t>Morfose Sac Kremi Milk Keratin 1000ml</t>
        </is>
      </c>
      <c r="E877" s="18" t="n">
        <v>18.6</v>
      </c>
      <c r="F877" s="18" t="n">
        <v>12</v>
      </c>
      <c r="G877" s="18" t="n">
        <v>40</v>
      </c>
      <c r="H877" s="18" t="n"/>
      <c r="I877" s="18" t="n"/>
      <c r="J877" s="18" t="n"/>
      <c r="K877" s="19">
        <f>H877+I877+J877</f>
        <v/>
      </c>
      <c r="L877" s="19">
        <f>K877-G877</f>
        <v/>
      </c>
      <c r="M877" s="20">
        <f>L877*E877</f>
        <v/>
      </c>
      <c r="N877" s="20" t="n">
        <v>50</v>
      </c>
      <c r="O877" s="20" t="n"/>
      <c r="P877" s="20">
        <f>O877-N877</f>
        <v/>
      </c>
      <c r="Q877" s="20">
        <f>P877*E877</f>
        <v/>
      </c>
      <c r="R877" s="20" t="n"/>
    </row>
    <row r="878" ht="20" customHeight="1" s="1">
      <c r="A878" s="21" t="inlineStr">
        <is>
          <t>19967</t>
        </is>
      </c>
      <c r="B878" s="22" t="inlineStr">
        <is>
          <t>Morfose</t>
        </is>
      </c>
      <c r="C878" s="21" t="inlineStr">
        <is>
          <t>8680678831094</t>
        </is>
      </c>
      <c r="D878" s="22" t="inlineStr">
        <is>
          <t>Morfose Sac Maskasi Argan 500ml</t>
        </is>
      </c>
      <c r="E878" s="23" t="n">
        <v>14.4</v>
      </c>
      <c r="F878" s="23" t="n">
        <v>24</v>
      </c>
      <c r="G878" s="23" t="n">
        <v>36</v>
      </c>
      <c r="H878" s="23" t="n"/>
      <c r="I878" s="23" t="n"/>
      <c r="J878" s="23" t="n"/>
      <c r="K878" s="19">
        <f>H878+I878+J878</f>
        <v/>
      </c>
      <c r="L878" s="19">
        <f>K878-G878</f>
        <v/>
      </c>
      <c r="M878" s="20">
        <f>L878*E878</f>
        <v/>
      </c>
      <c r="N878" s="20" t="n">
        <v>50</v>
      </c>
      <c r="O878" s="20" t="n"/>
      <c r="P878" s="20">
        <f>O878-N878</f>
        <v/>
      </c>
      <c r="Q878" s="20">
        <f>P878*E878</f>
        <v/>
      </c>
      <c r="R878" s="20" t="n"/>
    </row>
    <row r="879" ht="20" customHeight="1" s="1">
      <c r="A879" s="16" t="inlineStr">
        <is>
          <t>19968</t>
        </is>
      </c>
      <c r="B879" s="17" t="inlineStr">
        <is>
          <t>Morfose</t>
        </is>
      </c>
      <c r="C879" s="16" t="inlineStr">
        <is>
          <t>8680678831117</t>
        </is>
      </c>
      <c r="D879" s="17" t="inlineStr">
        <is>
          <t>Morfose Sac Maskasi Keratin 500ml</t>
        </is>
      </c>
      <c r="E879" s="18" t="n">
        <v>14.4</v>
      </c>
      <c r="F879" s="18" t="n">
        <v>24</v>
      </c>
      <c r="G879" s="18" t="n">
        <v>54</v>
      </c>
      <c r="H879" s="18" t="n"/>
      <c r="I879" s="18" t="n"/>
      <c r="J879" s="18" t="n"/>
      <c r="K879" s="19">
        <f>H879+I879+J879</f>
        <v/>
      </c>
      <c r="L879" s="19">
        <f>K879-G879</f>
        <v/>
      </c>
      <c r="M879" s="20">
        <f>L879*E879</f>
        <v/>
      </c>
      <c r="N879" s="20" t="n">
        <v>50</v>
      </c>
      <c r="O879" s="20" t="n"/>
      <c r="P879" s="20">
        <f>O879-N879</f>
        <v/>
      </c>
      <c r="Q879" s="20">
        <f>P879*E879</f>
        <v/>
      </c>
      <c r="R879" s="20" t="n"/>
    </row>
    <row r="880" ht="20" customHeight="1" s="1">
      <c r="A880" s="21" t="inlineStr">
        <is>
          <t>19969</t>
        </is>
      </c>
      <c r="B880" s="22" t="inlineStr">
        <is>
          <t>Morfose</t>
        </is>
      </c>
      <c r="C880" s="21" t="inlineStr">
        <is>
          <t>8681701008384</t>
        </is>
      </c>
      <c r="D880" s="22" t="inlineStr">
        <is>
          <t>Morfose Sac Maskasi Kolajen 500ml</t>
        </is>
      </c>
      <c r="E880" s="23" t="n">
        <v>14.4</v>
      </c>
      <c r="F880" s="23" t="n">
        <v>24</v>
      </c>
      <c r="G880" s="23" t="n">
        <v>31</v>
      </c>
      <c r="H880" s="23" t="n"/>
      <c r="I880" s="23" t="n"/>
      <c r="J880" s="23" t="n"/>
      <c r="K880" s="19">
        <f>H880+I880+J880</f>
        <v/>
      </c>
      <c r="L880" s="19">
        <f>K880-G880</f>
        <v/>
      </c>
      <c r="M880" s="20">
        <f>L880*E880</f>
        <v/>
      </c>
      <c r="N880" s="20" t="n">
        <v>50</v>
      </c>
      <c r="O880" s="20" t="n"/>
      <c r="P880" s="20">
        <f>O880-N880</f>
        <v/>
      </c>
      <c r="Q880" s="20">
        <f>P880*E880</f>
        <v/>
      </c>
      <c r="R880" s="20" t="n"/>
    </row>
    <row r="881" ht="20" customHeight="1" s="1">
      <c r="A881" s="16" t="inlineStr">
        <is>
          <t>19971</t>
        </is>
      </c>
      <c r="B881" s="17" t="inlineStr">
        <is>
          <t>Morfose</t>
        </is>
      </c>
      <c r="C881" s="16" t="inlineStr">
        <is>
          <t>8680678837096</t>
        </is>
      </c>
      <c r="D881" s="17" t="inlineStr">
        <is>
          <t>Morfose Sac Maskasi Milk Therapy 500ml</t>
        </is>
      </c>
      <c r="E881" s="18" t="n">
        <v>15</v>
      </c>
      <c r="F881" s="18" t="n">
        <v>24</v>
      </c>
      <c r="G881" s="18" t="n">
        <v>89</v>
      </c>
      <c r="H881" s="18" t="n"/>
      <c r="I881" s="18" t="n"/>
      <c r="J881" s="18" t="n"/>
      <c r="K881" s="19">
        <f>H881+I881+J881</f>
        <v/>
      </c>
      <c r="L881" s="19">
        <f>K881-G881</f>
        <v/>
      </c>
      <c r="M881" s="20">
        <f>L881*E881</f>
        <v/>
      </c>
      <c r="N881" s="20" t="n">
        <v>50</v>
      </c>
      <c r="O881" s="20" t="n"/>
      <c r="P881" s="20">
        <f>O881-N881</f>
        <v/>
      </c>
      <c r="Q881" s="20">
        <f>P881*E881</f>
        <v/>
      </c>
      <c r="R881" s="20" t="n"/>
    </row>
    <row r="882" ht="20" customHeight="1" s="1">
      <c r="A882" s="21" t="inlineStr">
        <is>
          <t>19970</t>
        </is>
      </c>
      <c r="B882" s="22" t="inlineStr">
        <is>
          <t>Morfose</t>
        </is>
      </c>
      <c r="C882" s="21" t="inlineStr">
        <is>
          <t>8681701001484</t>
        </is>
      </c>
      <c r="D882" s="22" t="inlineStr">
        <is>
          <t>Morfose Sac Maskasi Biyotin 500ml</t>
        </is>
      </c>
      <c r="E882" s="23" t="n">
        <v>14.4</v>
      </c>
      <c r="F882" s="23" t="n">
        <v>24</v>
      </c>
      <c r="G882" s="23" t="n">
        <v>65</v>
      </c>
      <c r="H882" s="23" t="n"/>
      <c r="I882" s="23" t="n"/>
      <c r="J882" s="23" t="n"/>
      <c r="K882" s="19">
        <f>H882+I882+J882</f>
        <v/>
      </c>
      <c r="L882" s="19">
        <f>K882-G882</f>
        <v/>
      </c>
      <c r="M882" s="20">
        <f>L882*E882</f>
        <v/>
      </c>
      <c r="N882" s="20" t="n">
        <v>50</v>
      </c>
      <c r="O882" s="20" t="n"/>
      <c r="P882" s="20">
        <f>O882-N882</f>
        <v/>
      </c>
      <c r="Q882" s="20">
        <f>P882*E882</f>
        <v/>
      </c>
      <c r="R882" s="20" t="n"/>
    </row>
    <row r="883" ht="20" customHeight="1" s="1">
      <c r="A883" s="16" t="inlineStr">
        <is>
          <t>19979</t>
        </is>
      </c>
      <c r="B883" s="17" t="inlineStr">
        <is>
          <t>Morfose</t>
        </is>
      </c>
      <c r="C883" s="16" t="inlineStr">
        <is>
          <t>8681701008001</t>
        </is>
      </c>
      <c r="D883" s="17" t="inlineStr">
        <is>
          <t>Morfose Sac Maskasi Silver 500ml</t>
        </is>
      </c>
      <c r="E883" s="18" t="n">
        <v>16.3</v>
      </c>
      <c r="F883" s="18" t="n">
        <v>12</v>
      </c>
      <c r="G883" s="18" t="n">
        <v>43</v>
      </c>
      <c r="H883" s="18" t="n"/>
      <c r="I883" s="18" t="n"/>
      <c r="J883" s="18" t="n"/>
      <c r="K883" s="19">
        <f>H883+I883+J883</f>
        <v/>
      </c>
      <c r="L883" s="19">
        <f>K883-G883</f>
        <v/>
      </c>
      <c r="M883" s="20">
        <f>L883*E883</f>
        <v/>
      </c>
      <c r="N883" s="20" t="n">
        <v>50</v>
      </c>
      <c r="O883" s="20" t="n">
        <v>1</v>
      </c>
      <c r="P883" s="20">
        <f>O883-N883</f>
        <v/>
      </c>
      <c r="Q883" s="20">
        <f>P883*E883</f>
        <v/>
      </c>
      <c r="R883" s="20" t="inlineStr">
        <is>
          <t>Perviz</t>
        </is>
      </c>
    </row>
    <row r="884" ht="20" customHeight="1" s="1">
      <c r="A884" s="21" t="inlineStr">
        <is>
          <t>20874</t>
        </is>
      </c>
      <c r="B884" s="22" t="inlineStr">
        <is>
          <t>Morfose</t>
        </is>
      </c>
      <c r="C884" s="21" t="inlineStr">
        <is>
          <t>8680678831100</t>
        </is>
      </c>
      <c r="D884" s="22" t="inlineStr">
        <is>
          <t>Morfose Sac Maskasi Kollagen Blue 500ml</t>
        </is>
      </c>
      <c r="E884" s="23" t="n">
        <v>13.1</v>
      </c>
      <c r="F884" s="23" t="n">
        <v>24</v>
      </c>
      <c r="G884" s="23" t="n">
        <v>0</v>
      </c>
      <c r="H884" s="23" t="n"/>
      <c r="I884" s="23" t="n"/>
      <c r="J884" s="23" t="n"/>
      <c r="K884" s="19">
        <f>H884+I884+J884</f>
        <v/>
      </c>
      <c r="L884" s="19">
        <f>K884-G884</f>
        <v/>
      </c>
      <c r="M884" s="20">
        <f>L884*E884</f>
        <v/>
      </c>
      <c r="N884" s="20" t="n">
        <v>50</v>
      </c>
      <c r="O884" s="20" t="n"/>
      <c r="P884" s="20">
        <f>O884-N884</f>
        <v/>
      </c>
      <c r="Q884" s="20">
        <f>P884*E884</f>
        <v/>
      </c>
      <c r="R884" s="20" t="n"/>
    </row>
    <row r="885" ht="20" customHeight="1" s="1">
      <c r="A885" s="16" t="inlineStr">
        <is>
          <t>20804</t>
        </is>
      </c>
      <c r="B885" s="17" t="inlineStr">
        <is>
          <t>Morfose</t>
        </is>
      </c>
      <c r="C885" s="16" t="inlineStr">
        <is>
          <t>8681701009893</t>
        </is>
      </c>
      <c r="D885" s="17" t="inlineStr">
        <is>
          <t>Morfose Sampun Milk Biotin+Retinol No Salt Sulfate 500ml</t>
        </is>
      </c>
      <c r="E885" s="18" t="n">
        <v>9.4</v>
      </c>
      <c r="F885" s="18" t="n">
        <v>12</v>
      </c>
      <c r="G885" s="18" t="n">
        <v>67</v>
      </c>
      <c r="H885" s="18" t="n"/>
      <c r="I885" s="18" t="n"/>
      <c r="J885" s="18" t="n"/>
      <c r="K885" s="19" t="n"/>
      <c r="L885" s="19" t="n"/>
      <c r="M885" s="20" t="n"/>
      <c r="N885" s="20" t="n">
        <v>50</v>
      </c>
      <c r="O885" s="20" t="n"/>
      <c r="P885" s="20">
        <f>O885-N885</f>
        <v/>
      </c>
      <c r="Q885" s="20">
        <f>P885*E885</f>
        <v/>
      </c>
      <c r="R885" s="20" t="n"/>
    </row>
    <row r="886" ht="20" customHeight="1" s="1">
      <c r="A886" s="21" t="inlineStr">
        <is>
          <t>20805</t>
        </is>
      </c>
      <c r="B886" s="22" t="inlineStr">
        <is>
          <t>Morfose</t>
        </is>
      </c>
      <c r="C886" s="21" t="inlineStr">
        <is>
          <t>8681701009909</t>
        </is>
      </c>
      <c r="D886" s="22" t="inlineStr">
        <is>
          <t>Morfose Sampun Milk Keratin 500ml</t>
        </is>
      </c>
      <c r="E886" s="23" t="n">
        <v>9.4</v>
      </c>
      <c r="F886" s="23" t="n">
        <v>12</v>
      </c>
      <c r="G886" s="23" t="n">
        <v>51</v>
      </c>
      <c r="H886" s="23" t="n"/>
      <c r="I886" s="23" t="n"/>
      <c r="J886" s="23" t="n"/>
      <c r="K886" s="19">
        <f>H886+I886+J886</f>
        <v/>
      </c>
      <c r="L886" s="19">
        <f>K886-G886</f>
        <v/>
      </c>
      <c r="M886" s="20">
        <f>L886*E886</f>
        <v/>
      </c>
      <c r="N886" s="20" t="n">
        <v>50</v>
      </c>
      <c r="O886" s="20" t="n"/>
      <c r="P886" s="20">
        <f>O886-N886</f>
        <v/>
      </c>
      <c r="Q886" s="20">
        <f>P886*E886</f>
        <v/>
      </c>
      <c r="R886" s="20" t="n"/>
    </row>
    <row r="887" ht="20" customHeight="1" s="1">
      <c r="A887" s="16" t="inlineStr">
        <is>
          <t>19958</t>
        </is>
      </c>
      <c r="B887" s="17" t="inlineStr">
        <is>
          <t>Morfose</t>
        </is>
      </c>
      <c r="C887" s="16" t="inlineStr">
        <is>
          <t>8681701007172</t>
        </is>
      </c>
      <c r="D887" s="17" t="inlineStr">
        <is>
          <t>Morfose Sampun Keratin 500ml (POP ART)</t>
        </is>
      </c>
      <c r="E887" s="18" t="n">
        <v>9</v>
      </c>
      <c r="F887" s="18" t="n">
        <v>12</v>
      </c>
      <c r="G887" s="18" t="n">
        <v>38</v>
      </c>
      <c r="H887" s="18" t="n"/>
      <c r="I887" s="18" t="n"/>
      <c r="J887" s="18" t="n"/>
      <c r="K887" s="19">
        <f>H887+I887+J887</f>
        <v/>
      </c>
      <c r="L887" s="19">
        <f>K887-G887</f>
        <v/>
      </c>
      <c r="M887" s="20">
        <f>L887*E887</f>
        <v/>
      </c>
      <c r="N887" s="20" t="n">
        <v>50</v>
      </c>
      <c r="O887" s="20" t="n"/>
      <c r="P887" s="20">
        <f>O887-N887</f>
        <v/>
      </c>
      <c r="Q887" s="20">
        <f>P887*E887</f>
        <v/>
      </c>
      <c r="R887" s="20" t="n"/>
    </row>
    <row r="888" ht="20" customHeight="1" s="1">
      <c r="A888" s="21" t="inlineStr">
        <is>
          <t>19993</t>
        </is>
      </c>
      <c r="B888" s="22" t="inlineStr">
        <is>
          <t>Morfose</t>
        </is>
      </c>
      <c r="C888" s="21" t="inlineStr">
        <is>
          <t>8681701001637</t>
        </is>
      </c>
      <c r="D888" s="22" t="inlineStr">
        <is>
          <t>Morfose Sampun Tuzsuz 500ml</t>
        </is>
      </c>
      <c r="E888" s="23" t="n">
        <v>8.800000000000001</v>
      </c>
      <c r="F888" s="23" t="n">
        <v>12</v>
      </c>
      <c r="G888" s="23" t="n">
        <v>28</v>
      </c>
      <c r="H888" s="23" t="n"/>
      <c r="I888" s="23" t="n"/>
      <c r="J888" s="23" t="n"/>
      <c r="K888" s="19">
        <f>H888+I888+J888</f>
        <v/>
      </c>
      <c r="L888" s="19">
        <f>K888-G888</f>
        <v/>
      </c>
      <c r="M888" s="20">
        <f>L888*E888</f>
        <v/>
      </c>
      <c r="N888" s="20" t="n">
        <v>50</v>
      </c>
      <c r="O888" s="20" t="n"/>
      <c r="P888" s="20">
        <f>O888-N888</f>
        <v/>
      </c>
      <c r="Q888" s="20">
        <f>P888*E888</f>
        <v/>
      </c>
      <c r="R888" s="20" t="n"/>
    </row>
    <row r="889" ht="20" customHeight="1" s="1">
      <c r="A889" s="16" t="inlineStr">
        <is>
          <t>19995</t>
        </is>
      </c>
      <c r="B889" s="17" t="inlineStr">
        <is>
          <t>Morfose</t>
        </is>
      </c>
      <c r="C889" s="16" t="inlineStr">
        <is>
          <t>8681701001644</t>
        </is>
      </c>
      <c r="D889" s="17" t="inlineStr">
        <is>
          <t>Morfose Sampun Kolajen 500ml</t>
        </is>
      </c>
      <c r="E889" s="18" t="n">
        <v>8.800000000000001</v>
      </c>
      <c r="F889" s="18" t="n">
        <v>12</v>
      </c>
      <c r="G889" s="18" t="n">
        <v>41</v>
      </c>
      <c r="H889" s="18" t="n"/>
      <c r="I889" s="18" t="n"/>
      <c r="J889" s="18" t="n"/>
      <c r="K889" s="19">
        <f>H889+I889+J889</f>
        <v/>
      </c>
      <c r="L889" s="19">
        <f>K889-G889</f>
        <v/>
      </c>
      <c r="M889" s="20">
        <f>L889*E889</f>
        <v/>
      </c>
      <c r="N889" s="20" t="n">
        <v>50</v>
      </c>
      <c r="O889" s="20" t="n"/>
      <c r="P889" s="20">
        <f>O889-N889</f>
        <v/>
      </c>
      <c r="Q889" s="20">
        <f>P889*E889</f>
        <v/>
      </c>
      <c r="R889" s="20" t="n"/>
    </row>
    <row r="890" ht="20" customHeight="1" s="1">
      <c r="A890" s="21" t="inlineStr">
        <is>
          <t>19997</t>
        </is>
      </c>
      <c r="B890" s="22" t="inlineStr">
        <is>
          <t>Morfose</t>
        </is>
      </c>
      <c r="C890" s="21" t="inlineStr">
        <is>
          <t>8681701001651</t>
        </is>
      </c>
      <c r="D890" s="22" t="inlineStr">
        <is>
          <t>Morfose Sampun Keratin 500ml</t>
        </is>
      </c>
      <c r="E890" s="23" t="n">
        <v>8.800000000000001</v>
      </c>
      <c r="F890" s="23" t="n">
        <v>12</v>
      </c>
      <c r="G890" s="23" t="n">
        <v>80</v>
      </c>
      <c r="H890" s="23" t="n"/>
      <c r="I890" s="23" t="n"/>
      <c r="J890" s="23" t="n"/>
      <c r="K890" s="19">
        <f>H890+I890+J890</f>
        <v/>
      </c>
      <c r="L890" s="19">
        <f>K890-G890</f>
        <v/>
      </c>
      <c r="M890" s="20">
        <f>L890*E890</f>
        <v/>
      </c>
      <c r="N890" s="20" t="n">
        <v>50</v>
      </c>
      <c r="O890" s="20" t="n"/>
      <c r="P890" s="20">
        <f>O890-N890</f>
        <v/>
      </c>
      <c r="Q890" s="20">
        <f>P890*E890</f>
        <v/>
      </c>
      <c r="R890" s="20" t="n"/>
    </row>
    <row r="891" ht="20" customHeight="1" s="1">
      <c r="A891" s="16" t="inlineStr">
        <is>
          <t>19998</t>
        </is>
      </c>
      <c r="B891" s="17" t="inlineStr">
        <is>
          <t>Morfose</t>
        </is>
      </c>
      <c r="C891" s="16" t="inlineStr">
        <is>
          <t>8681701001668</t>
        </is>
      </c>
      <c r="D891" s="17" t="inlineStr">
        <is>
          <t>Morfose Sampun Argan 500ml</t>
        </is>
      </c>
      <c r="E891" s="18" t="n">
        <v>8.800000000000001</v>
      </c>
      <c r="F891" s="18" t="n">
        <v>12</v>
      </c>
      <c r="G891" s="18" t="n">
        <v>48</v>
      </c>
      <c r="H891" s="18" t="n"/>
      <c r="I891" s="18" t="n"/>
      <c r="J891" s="18" t="n"/>
      <c r="K891" s="19">
        <f>H891+I891+J891</f>
        <v/>
      </c>
      <c r="L891" s="19">
        <f>K891-G891</f>
        <v/>
      </c>
      <c r="M891" s="20">
        <f>L891*E891</f>
        <v/>
      </c>
      <c r="N891" s="20" t="n">
        <v>50</v>
      </c>
      <c r="O891" s="20" t="n"/>
      <c r="P891" s="20">
        <f>O891-N891</f>
        <v/>
      </c>
      <c r="Q891" s="20">
        <f>P891*E891</f>
        <v/>
      </c>
      <c r="R891" s="20" t="n"/>
    </row>
    <row r="892" ht="20" customHeight="1" s="1">
      <c r="A892" s="21" t="inlineStr">
        <is>
          <t>19999</t>
        </is>
      </c>
      <c r="B892" s="22" t="inlineStr">
        <is>
          <t>Morfose</t>
        </is>
      </c>
      <c r="C892" s="21" t="inlineStr">
        <is>
          <t>8681701001675</t>
        </is>
      </c>
      <c r="D892" s="22" t="inlineStr">
        <is>
          <t>Morfose Sampun Milk Therapy 500ml</t>
        </is>
      </c>
      <c r="E892" s="23" t="n">
        <v>9</v>
      </c>
      <c r="F892" s="23" t="n">
        <v>12</v>
      </c>
      <c r="G892" s="23" t="n">
        <v>221</v>
      </c>
      <c r="H892" s="23" t="n"/>
      <c r="I892" s="23" t="n"/>
      <c r="J892" s="23" t="n"/>
      <c r="K892" s="19">
        <f>H892+I892+J892</f>
        <v/>
      </c>
      <c r="L892" s="19">
        <f>K892-G892</f>
        <v/>
      </c>
      <c r="M892" s="20">
        <f>L892*E892</f>
        <v/>
      </c>
      <c r="N892" s="20" t="n">
        <v>50</v>
      </c>
      <c r="O892" s="20" t="n"/>
      <c r="P892" s="20">
        <f>O892-N892</f>
        <v/>
      </c>
      <c r="Q892" s="20">
        <f>P892*E892</f>
        <v/>
      </c>
      <c r="R892" s="20" t="n"/>
    </row>
    <row r="893" ht="20" customHeight="1" s="1">
      <c r="A893" s="16" t="inlineStr">
        <is>
          <t>20000</t>
        </is>
      </c>
      <c r="B893" s="17" t="inlineStr">
        <is>
          <t>Morfose</t>
        </is>
      </c>
      <c r="C893" s="16" t="inlineStr">
        <is>
          <t>8681701006823</t>
        </is>
      </c>
      <c r="D893" s="17" t="inlineStr">
        <is>
          <t>Morfose Sampun Silver 500ml</t>
        </is>
      </c>
      <c r="E893" s="18" t="n">
        <v>9.4</v>
      </c>
      <c r="F893" s="18" t="n">
        <v>12</v>
      </c>
      <c r="G893" s="18" t="n">
        <v>112</v>
      </c>
      <c r="H893" s="18" t="n"/>
      <c r="I893" s="18" t="n"/>
      <c r="J893" s="18" t="n"/>
      <c r="K893" s="19">
        <f>H893+I893+J893</f>
        <v/>
      </c>
      <c r="L893" s="19">
        <f>K893-G893</f>
        <v/>
      </c>
      <c r="M893" s="20">
        <f>L893*E893</f>
        <v/>
      </c>
      <c r="N893" s="20" t="n">
        <v>50</v>
      </c>
      <c r="O893" s="20" t="n"/>
      <c r="P893" s="20">
        <f>O893-N893</f>
        <v/>
      </c>
      <c r="Q893" s="20">
        <f>P893*E893</f>
        <v/>
      </c>
      <c r="R893" s="20" t="n"/>
    </row>
    <row r="894" ht="20" customHeight="1" s="1">
      <c r="A894" s="21" t="inlineStr">
        <is>
          <t>20004</t>
        </is>
      </c>
      <c r="B894" s="22" t="inlineStr">
        <is>
          <t>Morfose</t>
        </is>
      </c>
      <c r="C894" s="21" t="inlineStr">
        <is>
          <t>8681701008414</t>
        </is>
      </c>
      <c r="D894" s="22" t="inlineStr">
        <is>
          <t>Morfose Sampun Karbon 500ml</t>
        </is>
      </c>
      <c r="E894" s="23" t="n">
        <v>10.9</v>
      </c>
      <c r="F894" s="23" t="n">
        <v>12</v>
      </c>
      <c r="G894" s="23" t="n">
        <v>71</v>
      </c>
      <c r="H894" s="23" t="n"/>
      <c r="I894" s="23" t="n"/>
      <c r="J894" s="23" t="n"/>
      <c r="K894" s="19">
        <f>H894+I894+J894</f>
        <v/>
      </c>
      <c r="L894" s="19">
        <f>K894-G894</f>
        <v/>
      </c>
      <c r="M894" s="20">
        <f>L894*E894</f>
        <v/>
      </c>
      <c r="N894" s="20" t="n">
        <v>50</v>
      </c>
      <c r="O894" s="20" t="n"/>
      <c r="P894" s="20">
        <f>O894-N894</f>
        <v/>
      </c>
      <c r="Q894" s="20">
        <f>P894*E894</f>
        <v/>
      </c>
      <c r="R894" s="20" t="n"/>
    </row>
    <row r="895" ht="20" customHeight="1" s="1">
      <c r="A895" s="16" t="inlineStr">
        <is>
          <t>20005</t>
        </is>
      </c>
      <c r="B895" s="17" t="inlineStr">
        <is>
          <t>Morfose</t>
        </is>
      </c>
      <c r="C895" s="16" t="inlineStr">
        <is>
          <t>8681701008650</t>
        </is>
      </c>
      <c r="D895" s="17" t="inlineStr">
        <is>
          <t>Morfose Sampun Sulphate Free Kinoa Protein 500ml</t>
        </is>
      </c>
      <c r="E895" s="18" t="n">
        <v>10.9</v>
      </c>
      <c r="F895" s="18" t="n">
        <v>12</v>
      </c>
      <c r="G895" s="18" t="n">
        <v>10</v>
      </c>
      <c r="H895" s="18" t="n"/>
      <c r="I895" s="18" t="n"/>
      <c r="J895" s="18" t="n"/>
      <c r="K895" s="19" t="n"/>
      <c r="L895" s="19" t="n"/>
      <c r="M895" s="20" t="n"/>
      <c r="N895" s="20" t="n">
        <v>50</v>
      </c>
      <c r="O895" s="20" t="n"/>
      <c r="P895" s="20">
        <f>O895-N895</f>
        <v/>
      </c>
      <c r="Q895" s="20">
        <f>P895*E895</f>
        <v/>
      </c>
      <c r="R895" s="20" t="n"/>
    </row>
    <row r="896" ht="20" customHeight="1" s="1">
      <c r="A896" s="21" t="inlineStr">
        <is>
          <t>19959</t>
        </is>
      </c>
      <c r="B896" s="22" t="inlineStr">
        <is>
          <t>Morfose</t>
        </is>
      </c>
      <c r="C896" s="21" t="inlineStr">
        <is>
          <t>8681701007189</t>
        </is>
      </c>
      <c r="D896" s="22" t="inlineStr">
        <is>
          <t>Morfose Sampun Kolajen 500ml (POP ART)</t>
        </is>
      </c>
      <c r="E896" s="23" t="n">
        <v>9</v>
      </c>
      <c r="F896" s="23" t="n">
        <v>12</v>
      </c>
      <c r="G896" s="23" t="n">
        <v>24</v>
      </c>
      <c r="H896" s="23" t="n"/>
      <c r="I896" s="23" t="n"/>
      <c r="J896" s="23" t="n"/>
      <c r="K896" s="19" t="n"/>
      <c r="L896" s="19" t="n"/>
      <c r="M896" s="20" t="n"/>
      <c r="N896" s="20" t="n">
        <v>50</v>
      </c>
      <c r="O896" s="20" t="n"/>
      <c r="P896" s="20">
        <f>O896-N896</f>
        <v/>
      </c>
      <c r="Q896" s="20">
        <f>P896*E896</f>
        <v/>
      </c>
      <c r="R896" s="20" t="n"/>
    </row>
    <row r="897" ht="20" customHeight="1" s="1">
      <c r="A897" s="16" t="inlineStr">
        <is>
          <t>19983</t>
        </is>
      </c>
      <c r="B897" s="17" t="inlineStr">
        <is>
          <t>Morfose</t>
        </is>
      </c>
      <c r="C897" s="16" t="inlineStr">
        <is>
          <t>8680678831421</t>
        </is>
      </c>
      <c r="D897" s="17" t="inlineStr">
        <is>
          <t>Morfose Kondisioner 2Fazli Argan 400ml</t>
        </is>
      </c>
      <c r="E897" s="18" t="n">
        <v>13</v>
      </c>
      <c r="F897" s="18" t="n">
        <v>24</v>
      </c>
      <c r="G897" s="18" t="n">
        <v>70</v>
      </c>
      <c r="H897" s="18" t="n"/>
      <c r="I897" s="18" t="n"/>
      <c r="J897" s="18" t="n"/>
      <c r="K897" s="19">
        <f>H897+I897+J897</f>
        <v/>
      </c>
      <c r="L897" s="19">
        <f>K897-G897</f>
        <v/>
      </c>
      <c r="M897" s="20">
        <f>L897*E897</f>
        <v/>
      </c>
      <c r="N897" s="20" t="n">
        <v>50</v>
      </c>
      <c r="O897" s="20" t="n"/>
      <c r="P897" s="20">
        <f>O897-N897</f>
        <v/>
      </c>
      <c r="Q897" s="20">
        <f>P897*E897</f>
        <v/>
      </c>
      <c r="R897" s="20" t="n"/>
    </row>
    <row r="898" ht="20" customHeight="1" s="1">
      <c r="A898" s="21" t="inlineStr">
        <is>
          <t>19985</t>
        </is>
      </c>
      <c r="B898" s="22" t="inlineStr">
        <is>
          <t>Morfose</t>
        </is>
      </c>
      <c r="C898" s="21" t="inlineStr">
        <is>
          <t>8680678834859</t>
        </is>
      </c>
      <c r="D898" s="22" t="inlineStr">
        <is>
          <t>Morfose Kondisioner 2Fazli Kolajen 400ml</t>
        </is>
      </c>
      <c r="E898" s="23" t="n">
        <v>13</v>
      </c>
      <c r="F898" s="23" t="n">
        <v>24</v>
      </c>
      <c r="G898" s="23" t="n">
        <v>57</v>
      </c>
      <c r="H898" s="23" t="n"/>
      <c r="I898" s="23" t="n"/>
      <c r="J898" s="23" t="n"/>
      <c r="K898" s="19">
        <f>H898+I898+J898</f>
        <v/>
      </c>
      <c r="L898" s="19">
        <f>K898-G898</f>
        <v/>
      </c>
      <c r="M898" s="20">
        <f>L898*E898</f>
        <v/>
      </c>
      <c r="N898" s="20" t="n">
        <v>50</v>
      </c>
      <c r="O898" s="20" t="n"/>
      <c r="P898" s="20">
        <f>O898-N898</f>
        <v/>
      </c>
      <c r="Q898" s="20">
        <f>P898*E898</f>
        <v/>
      </c>
      <c r="R898" s="20" t="n"/>
    </row>
    <row r="899" ht="20" customHeight="1" s="1">
      <c r="A899" s="16" t="inlineStr">
        <is>
          <t>19987</t>
        </is>
      </c>
      <c r="B899" s="17" t="inlineStr">
        <is>
          <t>Morfose</t>
        </is>
      </c>
      <c r="C899" s="16" t="inlineStr">
        <is>
          <t>8680678828681</t>
        </is>
      </c>
      <c r="D899" s="17" t="inlineStr">
        <is>
          <t>Morfose Kondisioner 2Fazli Biyotin 400ml</t>
        </is>
      </c>
      <c r="E899" s="18" t="n">
        <v>13</v>
      </c>
      <c r="F899" s="18" t="n">
        <v>24</v>
      </c>
      <c r="G899" s="18" t="n">
        <v>44</v>
      </c>
      <c r="H899" s="18" t="n"/>
      <c r="I899" s="18" t="n"/>
      <c r="J899" s="18" t="n"/>
      <c r="K899" s="19">
        <f>H899+I899+J899</f>
        <v/>
      </c>
      <c r="L899" s="19">
        <f>K899-G899</f>
        <v/>
      </c>
      <c r="M899" s="20">
        <f>L899*E899</f>
        <v/>
      </c>
      <c r="N899" s="20" t="n">
        <v>50</v>
      </c>
      <c r="O899" s="20" t="n"/>
      <c r="P899" s="20">
        <f>O899-N899</f>
        <v/>
      </c>
      <c r="Q899" s="20">
        <f>P899*E899</f>
        <v/>
      </c>
      <c r="R899" s="20" t="n"/>
    </row>
    <row r="900" ht="20" customHeight="1" s="1">
      <c r="A900" s="21" t="inlineStr">
        <is>
          <t>19988</t>
        </is>
      </c>
      <c r="B900" s="22" t="inlineStr">
        <is>
          <t>Morfose</t>
        </is>
      </c>
      <c r="C900" s="21" t="inlineStr">
        <is>
          <t>8680678828674</t>
        </is>
      </c>
      <c r="D900" s="22" t="inlineStr">
        <is>
          <t>Morfose Kondisioner 2Fazli Keratin 400ml</t>
        </is>
      </c>
      <c r="E900" s="23" t="n">
        <v>13</v>
      </c>
      <c r="F900" s="23" t="n">
        <v>24</v>
      </c>
      <c r="G900" s="23" t="n">
        <v>37</v>
      </c>
      <c r="H900" s="23" t="n"/>
      <c r="I900" s="23" t="n"/>
      <c r="J900" s="23" t="n"/>
      <c r="K900" s="19">
        <f>H900+I900+J900</f>
        <v/>
      </c>
      <c r="L900" s="19">
        <f>K900-G900</f>
        <v/>
      </c>
      <c r="M900" s="20">
        <f>L900*E900</f>
        <v/>
      </c>
      <c r="N900" s="20" t="n">
        <v>50</v>
      </c>
      <c r="O900" s="20" t="n"/>
      <c r="P900" s="20">
        <f>O900-N900</f>
        <v/>
      </c>
      <c r="Q900" s="20">
        <f>P900*E900</f>
        <v/>
      </c>
      <c r="R900" s="20" t="n"/>
    </row>
    <row r="901" ht="20" customHeight="1" s="1">
      <c r="A901" s="16" t="inlineStr">
        <is>
          <t>19989</t>
        </is>
      </c>
      <c r="B901" s="17" t="inlineStr">
        <is>
          <t>Morfose</t>
        </is>
      </c>
      <c r="C901" s="16" t="inlineStr">
        <is>
          <t>8680678826946</t>
        </is>
      </c>
      <c r="D901" s="17" t="inlineStr">
        <is>
          <t>Morfose Kondisioner 2Fazli Milk Therapy 400ml</t>
        </is>
      </c>
      <c r="E901" s="18" t="n">
        <v>13</v>
      </c>
      <c r="F901" s="18" t="n">
        <v>24</v>
      </c>
      <c r="G901" s="18" t="n">
        <v>403</v>
      </c>
      <c r="H901" s="18" t="n"/>
      <c r="I901" s="18" t="n"/>
      <c r="J901" s="18" t="n"/>
      <c r="K901" s="19">
        <f>H901+I901+J901</f>
        <v/>
      </c>
      <c r="L901" s="19">
        <f>K901-G901</f>
        <v/>
      </c>
      <c r="M901" s="20">
        <f>L901*E901</f>
        <v/>
      </c>
      <c r="N901" s="20" t="n">
        <v>50</v>
      </c>
      <c r="O901" s="20" t="n"/>
      <c r="P901" s="20">
        <f>O901-N901</f>
        <v/>
      </c>
      <c r="Q901" s="20">
        <f>P901*E901</f>
        <v/>
      </c>
      <c r="R901" s="20" t="n"/>
    </row>
    <row r="902" ht="20" customHeight="1" s="1">
      <c r="A902" s="21" t="inlineStr">
        <is>
          <t>21880</t>
        </is>
      </c>
      <c r="B902" s="22" t="inlineStr">
        <is>
          <t>Morfose</t>
        </is>
      </c>
      <c r="C902" s="21" t="inlineStr">
        <is>
          <t>8681701014781</t>
        </is>
      </c>
      <c r="D902" s="22" t="inlineStr">
        <is>
          <t>Morfose Kondisioner 2Fazli Hemp 400 ml</t>
        </is>
      </c>
      <c r="E902" s="23" t="n">
        <v>13</v>
      </c>
      <c r="F902" s="23" t="n">
        <v>24</v>
      </c>
      <c r="G902" s="23" t="n">
        <v>44</v>
      </c>
      <c r="H902" s="23" t="n"/>
      <c r="I902" s="23" t="n"/>
      <c r="J902" s="23" t="n"/>
      <c r="K902" s="19">
        <f>H902+I902+J902</f>
        <v/>
      </c>
      <c r="L902" s="19">
        <f>K902-G902</f>
        <v/>
      </c>
      <c r="M902" s="20">
        <f>L902*E902</f>
        <v/>
      </c>
      <c r="N902" s="20" t="n">
        <v>50</v>
      </c>
      <c r="O902" s="20" t="n"/>
      <c r="P902" s="20">
        <f>O902-N902</f>
        <v/>
      </c>
      <c r="Q902" s="20">
        <f>P902*E902</f>
        <v/>
      </c>
      <c r="R902" s="20" t="n"/>
    </row>
    <row r="903" ht="20" customHeight="1" s="1">
      <c r="A903" s="16" t="inlineStr">
        <is>
          <t>21881</t>
        </is>
      </c>
      <c r="B903" s="17" t="inlineStr">
        <is>
          <t>Morfose</t>
        </is>
      </c>
      <c r="C903" s="16" t="inlineStr">
        <is>
          <t>8681701014798</t>
        </is>
      </c>
      <c r="D903" s="17" t="inlineStr">
        <is>
          <t>Morfose Kondisioner 2Fazli Milk &amp; Honey 400 ml</t>
        </is>
      </c>
      <c r="E903" s="18" t="n">
        <v>13</v>
      </c>
      <c r="F903" s="18" t="n">
        <v>24</v>
      </c>
      <c r="G903" s="18" t="n">
        <v>27</v>
      </c>
      <c r="H903" s="18" t="n"/>
      <c r="I903" s="18" t="n"/>
      <c r="J903" s="18" t="n"/>
      <c r="K903" s="19">
        <f>H903+I903+J903</f>
        <v/>
      </c>
      <c r="L903" s="19">
        <f>K903-G903</f>
        <v/>
      </c>
      <c r="M903" s="20">
        <f>L903*E903</f>
        <v/>
      </c>
      <c r="N903" s="20" t="n">
        <v>50</v>
      </c>
      <c r="O903" s="20" t="n"/>
      <c r="P903" s="20">
        <f>O903-N903</f>
        <v/>
      </c>
      <c r="Q903" s="20">
        <f>P903*E903</f>
        <v/>
      </c>
      <c r="R903" s="20" t="n"/>
    </row>
    <row r="904" ht="20" customHeight="1" s="1">
      <c r="A904" s="21" t="inlineStr">
        <is>
          <t>20294</t>
        </is>
      </c>
      <c r="B904" s="22" t="inlineStr">
        <is>
          <t>Morfose</t>
        </is>
      </c>
      <c r="C904" s="21" t="inlineStr">
        <is>
          <t>8681701008391</t>
        </is>
      </c>
      <c r="D904" s="22" t="inlineStr">
        <is>
          <t>Morfose Sampun Skalp Treatment Anti Dandruff 300ml</t>
        </is>
      </c>
      <c r="E904" s="23" t="n">
        <v>13.2</v>
      </c>
      <c r="F904" s="23" t="n">
        <v>12</v>
      </c>
      <c r="G904" s="23" t="n">
        <v>20</v>
      </c>
      <c r="H904" s="23" t="n"/>
      <c r="I904" s="23" t="n"/>
      <c r="J904" s="23" t="n"/>
      <c r="K904" s="19">
        <f>H904+I904+J904</f>
        <v/>
      </c>
      <c r="L904" s="19">
        <f>K904-G904</f>
        <v/>
      </c>
      <c r="M904" s="20">
        <f>L904*E904</f>
        <v/>
      </c>
      <c r="N904" s="20" t="n">
        <v>50</v>
      </c>
      <c r="O904" s="20" t="n"/>
      <c r="P904" s="20">
        <f>O904-N904</f>
        <v/>
      </c>
      <c r="Q904" s="20">
        <f>P904*E904</f>
        <v/>
      </c>
      <c r="R904" s="20" t="n"/>
    </row>
    <row r="905" ht="20" customHeight="1" s="1">
      <c r="A905" s="16" t="inlineStr">
        <is>
          <t>20009</t>
        </is>
      </c>
      <c r="B905" s="17" t="inlineStr">
        <is>
          <t>Morfose</t>
        </is>
      </c>
      <c r="C905" s="16" t="inlineStr">
        <is>
          <t>8681701008407</t>
        </is>
      </c>
      <c r="D905" s="17" t="inlineStr">
        <is>
          <t>Morfose Sampun Skalp Treatment Anti Hair Loss 300ml</t>
        </is>
      </c>
      <c r="E905" s="18" t="n">
        <v>12.7</v>
      </c>
      <c r="F905" s="18" t="n">
        <v>12</v>
      </c>
      <c r="G905" s="18" t="n">
        <v>27</v>
      </c>
      <c r="H905" s="18" t="n"/>
      <c r="I905" s="18" t="n"/>
      <c r="J905" s="18" t="n"/>
      <c r="K905" s="19">
        <f>H905+I905+J905</f>
        <v/>
      </c>
      <c r="L905" s="19">
        <f>K905-G905</f>
        <v/>
      </c>
      <c r="M905" s="20">
        <f>L905*E905</f>
        <v/>
      </c>
      <c r="N905" s="20" t="n">
        <v>50</v>
      </c>
      <c r="O905" s="20" t="n"/>
      <c r="P905" s="20">
        <f>O905-N905</f>
        <v/>
      </c>
      <c r="Q905" s="20">
        <f>P905*E905</f>
        <v/>
      </c>
      <c r="R905" s="20" t="n"/>
    </row>
    <row r="906" ht="20" customHeight="1" s="1">
      <c r="A906" s="21" t="inlineStr">
        <is>
          <t>21188</t>
        </is>
      </c>
      <c r="B906" s="22" t="inlineStr">
        <is>
          <t>Morfose</t>
        </is>
      </c>
      <c r="C906" s="21" t="inlineStr">
        <is>
          <t>8681701003334</t>
        </is>
      </c>
      <c r="D906" s="22" t="inlineStr">
        <is>
          <t>Morfose Kondisioner 2Fazli Biyotin 240ml</t>
        </is>
      </c>
      <c r="E906" s="23" t="n">
        <v>10.5</v>
      </c>
      <c r="F906" s="23" t="n">
        <v>24</v>
      </c>
      <c r="G906" s="23" t="n">
        <v>72</v>
      </c>
      <c r="H906" s="23" t="n"/>
      <c r="I906" s="23" t="n"/>
      <c r="J906" s="23" t="n"/>
      <c r="K906" s="19">
        <f>H906+I906+J906</f>
        <v/>
      </c>
      <c r="L906" s="19">
        <f>K906-G906</f>
        <v/>
      </c>
      <c r="M906" s="20">
        <f>L906*E906</f>
        <v/>
      </c>
      <c r="N906" s="20" t="n">
        <v>50</v>
      </c>
      <c r="O906" s="20" t="n"/>
      <c r="P906" s="20">
        <f>O906-N906</f>
        <v/>
      </c>
      <c r="Q906" s="20">
        <f>P906*E906</f>
        <v/>
      </c>
      <c r="R906" s="20" t="n"/>
    </row>
    <row r="907" ht="20" customHeight="1" s="1">
      <c r="A907" s="16" t="inlineStr">
        <is>
          <t>21187</t>
        </is>
      </c>
      <c r="B907" s="17" t="inlineStr">
        <is>
          <t>Morfose</t>
        </is>
      </c>
      <c r="C907" s="16" t="inlineStr">
        <is>
          <t>8681701003358</t>
        </is>
      </c>
      <c r="D907" s="17" t="inlineStr">
        <is>
          <t>Morfose Kondisioner 2Fazli Kolajen 240ml</t>
        </is>
      </c>
      <c r="E907" s="18" t="n">
        <v>10.5</v>
      </c>
      <c r="F907" s="18" t="n">
        <v>24</v>
      </c>
      <c r="G907" s="18" t="n">
        <v>64</v>
      </c>
      <c r="H907" s="18" t="n"/>
      <c r="I907" s="18" t="n"/>
      <c r="J907" s="18" t="n"/>
      <c r="K907" s="19">
        <f>H907+I907+J907</f>
        <v/>
      </c>
      <c r="L907" s="19">
        <f>K907-G907</f>
        <v/>
      </c>
      <c r="M907" s="20">
        <f>L907*E907</f>
        <v/>
      </c>
      <c r="N907" s="20" t="n">
        <v>50</v>
      </c>
      <c r="O907" s="20" t="n"/>
      <c r="P907" s="20">
        <f>O907-N907</f>
        <v/>
      </c>
      <c r="Q907" s="20">
        <f>P907*E907</f>
        <v/>
      </c>
      <c r="R907" s="20" t="n"/>
    </row>
    <row r="908" ht="20" customHeight="1" s="1">
      <c r="A908" s="21" t="inlineStr">
        <is>
          <t>21186</t>
        </is>
      </c>
      <c r="B908" s="22" t="inlineStr">
        <is>
          <t>Morfose</t>
        </is>
      </c>
      <c r="C908" s="21" t="inlineStr">
        <is>
          <t>8681701003341</t>
        </is>
      </c>
      <c r="D908" s="22" t="inlineStr">
        <is>
          <t>Morfose Kondisioner 2Fazli Keratin 240ml</t>
        </is>
      </c>
      <c r="E908" s="23" t="n">
        <v>10.5</v>
      </c>
      <c r="F908" s="23" t="n">
        <v>24</v>
      </c>
      <c r="G908" s="23" t="n">
        <v>72</v>
      </c>
      <c r="H908" s="23" t="n"/>
      <c r="I908" s="23" t="n"/>
      <c r="J908" s="23" t="n"/>
      <c r="K908" s="19">
        <f>H908+I908+J908</f>
        <v/>
      </c>
      <c r="L908" s="19">
        <f>K908-G908</f>
        <v/>
      </c>
      <c r="M908" s="20">
        <f>L908*E908</f>
        <v/>
      </c>
      <c r="N908" s="20" t="n">
        <v>50</v>
      </c>
      <c r="O908" s="20" t="n"/>
      <c r="P908" s="20">
        <f>O908-N908</f>
        <v/>
      </c>
      <c r="Q908" s="20">
        <f>P908*E908</f>
        <v/>
      </c>
      <c r="R908" s="20" t="n"/>
    </row>
    <row r="909" ht="20" customHeight="1" s="1">
      <c r="A909" s="16" t="inlineStr">
        <is>
          <t>20002</t>
        </is>
      </c>
      <c r="B909" s="17" t="inlineStr">
        <is>
          <t>Morfose</t>
        </is>
      </c>
      <c r="C909" s="16" t="inlineStr">
        <is>
          <t>8681701003365</t>
        </is>
      </c>
      <c r="D909" s="17" t="inlineStr">
        <is>
          <t>Morfose Kondisioner 2Fazli Milk Therapy 240ml</t>
        </is>
      </c>
      <c r="E909" s="18" t="n">
        <v>10.5</v>
      </c>
      <c r="F909" s="18" t="n">
        <v>24</v>
      </c>
      <c r="G909" s="18" t="n">
        <v>237</v>
      </c>
      <c r="H909" s="18" t="n"/>
      <c r="I909" s="18" t="n"/>
      <c r="J909" s="18" t="n"/>
      <c r="K909" s="19">
        <f>H909+I909+J909</f>
        <v/>
      </c>
      <c r="L909" s="19">
        <f>K909-G909</f>
        <v/>
      </c>
      <c r="M909" s="20">
        <f>L909*E909</f>
        <v/>
      </c>
      <c r="N909" s="20" t="n">
        <v>50</v>
      </c>
      <c r="O909" s="20" t="n"/>
      <c r="P909" s="20">
        <f>O909-N909</f>
        <v/>
      </c>
      <c r="Q909" s="20">
        <f>P909*E909</f>
        <v/>
      </c>
      <c r="R909" s="20" t="n"/>
    </row>
    <row r="910" ht="20" customHeight="1" s="1">
      <c r="A910" s="21" t="inlineStr">
        <is>
          <t>21878</t>
        </is>
      </c>
      <c r="B910" s="22" t="inlineStr">
        <is>
          <t>Morfose</t>
        </is>
      </c>
      <c r="C910" s="21" t="inlineStr">
        <is>
          <t>8681701014811</t>
        </is>
      </c>
      <c r="D910" s="22" t="inlineStr">
        <is>
          <t>Morfose Kondisioner 2Fazli Hemp 240 ml</t>
        </is>
      </c>
      <c r="E910" s="23" t="n">
        <v>10.5</v>
      </c>
      <c r="F910" s="23" t="n">
        <v>24</v>
      </c>
      <c r="G910" s="23" t="n">
        <v>83</v>
      </c>
      <c r="H910" s="23" t="n"/>
      <c r="I910" s="23" t="n"/>
      <c r="J910" s="23" t="n"/>
      <c r="K910" s="19">
        <f>H910+I910+J910</f>
        <v/>
      </c>
      <c r="L910" s="19">
        <f>K910-G910</f>
        <v/>
      </c>
      <c r="M910" s="20">
        <f>L910*E910</f>
        <v/>
      </c>
      <c r="N910" s="20" t="n">
        <v>50</v>
      </c>
      <c r="O910" s="20" t="n"/>
      <c r="P910" s="20">
        <f>O910-N910</f>
        <v/>
      </c>
      <c r="Q910" s="20">
        <f>P910*E910</f>
        <v/>
      </c>
      <c r="R910" s="20" t="n"/>
    </row>
    <row r="911" ht="20" customHeight="1" s="1">
      <c r="A911" s="16" t="inlineStr">
        <is>
          <t>21879</t>
        </is>
      </c>
      <c r="B911" s="17" t="inlineStr">
        <is>
          <t>Morfose</t>
        </is>
      </c>
      <c r="C911" s="16" t="inlineStr">
        <is>
          <t>8681701014828</t>
        </is>
      </c>
      <c r="D911" s="17" t="inlineStr">
        <is>
          <t>Morfose Kondisioner 2Fazli Milk &amp; Honey 240 ml</t>
        </is>
      </c>
      <c r="E911" s="18" t="n">
        <v>10.5</v>
      </c>
      <c r="F911" s="18" t="n">
        <v>24</v>
      </c>
      <c r="G911" s="18" t="n">
        <v>42</v>
      </c>
      <c r="H911" s="18" t="n"/>
      <c r="I911" s="18" t="n"/>
      <c r="J911" s="18" t="n"/>
      <c r="K911" s="19">
        <f>H911+I911+J911</f>
        <v/>
      </c>
      <c r="L911" s="19">
        <f>K911-G911</f>
        <v/>
      </c>
      <c r="M911" s="20">
        <f>L911*E911</f>
        <v/>
      </c>
      <c r="N911" s="20" t="n">
        <v>50</v>
      </c>
      <c r="O911" s="20" t="n"/>
      <c r="P911" s="20">
        <f>O911-N911</f>
        <v/>
      </c>
      <c r="Q911" s="20">
        <f>P911*E911</f>
        <v/>
      </c>
      <c r="R911" s="20" t="n"/>
    </row>
    <row r="912" ht="20" customHeight="1" s="1">
      <c r="A912" s="21" t="inlineStr">
        <is>
          <t>19992</t>
        </is>
      </c>
      <c r="B912" s="22" t="inlineStr">
        <is>
          <t>Morfose</t>
        </is>
      </c>
      <c r="C912" s="21" t="inlineStr">
        <is>
          <t>8681701008636</t>
        </is>
      </c>
      <c r="D912" s="22" t="inlineStr">
        <is>
          <t>Morfose Kondisioner 2Fazli Kolajen 220ml</t>
        </is>
      </c>
      <c r="E912" s="23" t="n">
        <v>8.300000000000001</v>
      </c>
      <c r="F912" s="23" t="n">
        <v>24</v>
      </c>
      <c r="G912" s="23" t="n">
        <v>38</v>
      </c>
      <c r="H912" s="23" t="n"/>
      <c r="I912" s="23" t="n"/>
      <c r="J912" s="23" t="n"/>
      <c r="K912" s="19">
        <f>H912+I912+J912</f>
        <v/>
      </c>
      <c r="L912" s="19">
        <f>K912-G912</f>
        <v/>
      </c>
      <c r="M912" s="20">
        <f>L912*E912</f>
        <v/>
      </c>
      <c r="N912" s="20" t="n">
        <v>50</v>
      </c>
      <c r="O912" s="20" t="n"/>
      <c r="P912" s="20">
        <f>O912-N912</f>
        <v/>
      </c>
      <c r="Q912" s="20">
        <f>P912*E912</f>
        <v/>
      </c>
      <c r="R912" s="20" t="n"/>
    </row>
    <row r="913" ht="20" customHeight="1" s="1">
      <c r="A913" s="16" t="inlineStr">
        <is>
          <t>19996</t>
        </is>
      </c>
      <c r="B913" s="17" t="inlineStr">
        <is>
          <t>Morfose</t>
        </is>
      </c>
      <c r="C913" s="16" t="inlineStr">
        <is>
          <t>8681701008629</t>
        </is>
      </c>
      <c r="D913" s="17" t="inlineStr">
        <is>
          <t>Morfose Kondisioner 2Fazli Keratin 220ml</t>
        </is>
      </c>
      <c r="E913" s="18" t="n">
        <v>8.300000000000001</v>
      </c>
      <c r="F913" s="18" t="n">
        <v>24</v>
      </c>
      <c r="G913" s="18" t="n">
        <v>52</v>
      </c>
      <c r="H913" s="18" t="n"/>
      <c r="I913" s="18" t="n"/>
      <c r="J913" s="18" t="n"/>
      <c r="K913" s="19">
        <f>H913+I913+J913</f>
        <v/>
      </c>
      <c r="L913" s="19">
        <f>K913-G913</f>
        <v/>
      </c>
      <c r="M913" s="20">
        <f>L913*E913</f>
        <v/>
      </c>
      <c r="N913" s="20" t="n">
        <v>50</v>
      </c>
      <c r="O913" s="20" t="n"/>
      <c r="P913" s="20">
        <f>O913-N913</f>
        <v/>
      </c>
      <c r="Q913" s="20">
        <f>P913*E913</f>
        <v/>
      </c>
      <c r="R913" s="20" t="n"/>
    </row>
    <row r="914" ht="20" customHeight="1" s="1">
      <c r="A914" s="21" t="inlineStr">
        <is>
          <t>20001</t>
        </is>
      </c>
      <c r="B914" s="22" t="inlineStr">
        <is>
          <t>Morfose</t>
        </is>
      </c>
      <c r="C914" s="21" t="inlineStr">
        <is>
          <t>8681701008643</t>
        </is>
      </c>
      <c r="D914" s="22" t="inlineStr">
        <is>
          <t>Morfose Kondisioner 2Fazli Milk Therapy 220ml</t>
        </is>
      </c>
      <c r="E914" s="23" t="n">
        <v>9.300000000000001</v>
      </c>
      <c r="F914" s="23" t="n">
        <v>24</v>
      </c>
      <c r="G914" s="23" t="n">
        <v>197</v>
      </c>
      <c r="H914" s="23" t="n"/>
      <c r="I914" s="23" t="n"/>
      <c r="J914" s="23" t="n"/>
      <c r="K914" s="19">
        <f>H914+I914+J914</f>
        <v/>
      </c>
      <c r="L914" s="19">
        <f>K914-G914</f>
        <v/>
      </c>
      <c r="M914" s="20">
        <f>L914*E914</f>
        <v/>
      </c>
      <c r="N914" s="20" t="n">
        <v>50</v>
      </c>
      <c r="O914" s="20" t="n"/>
      <c r="P914" s="20">
        <f>O914-N914</f>
        <v/>
      </c>
      <c r="Q914" s="20">
        <f>P914*E914</f>
        <v/>
      </c>
      <c r="R914" s="20" t="n"/>
    </row>
    <row r="915" ht="20" customHeight="1" s="1">
      <c r="A915" s="16" t="inlineStr">
        <is>
          <t>19991</t>
        </is>
      </c>
      <c r="B915" s="17" t="inlineStr">
        <is>
          <t>Morfose</t>
        </is>
      </c>
      <c r="C915" s="16" t="inlineStr">
        <is>
          <t>8681701008612</t>
        </is>
      </c>
      <c r="D915" s="17" t="inlineStr">
        <is>
          <t>Morfose Kondisioner 2Fazli Argan 220ml</t>
        </is>
      </c>
      <c r="E915" s="18" t="n">
        <v>8.300000000000001</v>
      </c>
      <c r="F915" s="18" t="n">
        <v>24</v>
      </c>
      <c r="G915" s="18" t="n">
        <v>32</v>
      </c>
      <c r="H915" s="18" t="n"/>
      <c r="I915" s="18" t="n"/>
      <c r="J915" s="18" t="n"/>
      <c r="K915" s="19">
        <f>H915+I915+J915</f>
        <v/>
      </c>
      <c r="L915" s="19">
        <f>K915-G915</f>
        <v/>
      </c>
      <c r="M915" s="20">
        <f>L915*E915</f>
        <v/>
      </c>
      <c r="N915" s="20" t="n">
        <v>50</v>
      </c>
      <c r="O915" s="20" t="n"/>
      <c r="P915" s="20">
        <f>O915-N915</f>
        <v/>
      </c>
      <c r="Q915" s="20">
        <f>P915*E915</f>
        <v/>
      </c>
      <c r="R915" s="20" t="n"/>
    </row>
    <row r="916" ht="20" customHeight="1" s="1">
      <c r="A916" s="21" t="inlineStr">
        <is>
          <t>21876</t>
        </is>
      </c>
      <c r="B916" s="22" t="inlineStr">
        <is>
          <t>Morfose</t>
        </is>
      </c>
      <c r="C916" s="21" t="inlineStr">
        <is>
          <t>8681701014842</t>
        </is>
      </c>
      <c r="D916" s="22" t="inlineStr">
        <is>
          <t>Morfose Kondisioner 2Fazli Hemp 220 ml</t>
        </is>
      </c>
      <c r="E916" s="23" t="n">
        <v>8.300000000000001</v>
      </c>
      <c r="F916" s="23" t="n">
        <v>24</v>
      </c>
      <c r="G916" s="23" t="n">
        <v>52</v>
      </c>
      <c r="H916" s="23" t="n"/>
      <c r="I916" s="23" t="n"/>
      <c r="J916" s="23" t="n"/>
      <c r="K916" s="19">
        <f>H916+I916+J916</f>
        <v/>
      </c>
      <c r="L916" s="19">
        <f>K916-G916</f>
        <v/>
      </c>
      <c r="M916" s="20">
        <f>L916*E916</f>
        <v/>
      </c>
      <c r="N916" s="20" t="n">
        <v>50</v>
      </c>
      <c r="O916" s="20" t="n"/>
      <c r="P916" s="20">
        <f>O916-N916</f>
        <v/>
      </c>
      <c r="Q916" s="20">
        <f>P916*E916</f>
        <v/>
      </c>
      <c r="R916" s="20" t="n"/>
    </row>
    <row r="917" ht="20" customHeight="1" s="1">
      <c r="A917" s="16" t="inlineStr">
        <is>
          <t>21877</t>
        </is>
      </c>
      <c r="B917" s="17" t="inlineStr">
        <is>
          <t>Morfose</t>
        </is>
      </c>
      <c r="C917" s="16" t="inlineStr">
        <is>
          <t>8681701014859</t>
        </is>
      </c>
      <c r="D917" s="17" t="inlineStr">
        <is>
          <t>Morfose Kondisioner 2Fazli Milk &amp; Honey 220 ml</t>
        </is>
      </c>
      <c r="E917" s="18" t="n">
        <v>8.300000000000001</v>
      </c>
      <c r="F917" s="18" t="n">
        <v>24</v>
      </c>
      <c r="G917" s="18" t="n">
        <v>0</v>
      </c>
      <c r="H917" s="18" t="n"/>
      <c r="I917" s="18" t="n"/>
      <c r="J917" s="18" t="n"/>
      <c r="K917" s="19">
        <f>H917+I917+J917</f>
        <v/>
      </c>
      <c r="L917" s="19">
        <f>K917-G917</f>
        <v/>
      </c>
      <c r="M917" s="20">
        <f>L917*E917</f>
        <v/>
      </c>
      <c r="N917" s="20" t="n">
        <v>50</v>
      </c>
      <c r="O917" s="20" t="n"/>
      <c r="P917" s="20">
        <f>O917-N917</f>
        <v/>
      </c>
      <c r="Q917" s="20">
        <f>P917*E917</f>
        <v/>
      </c>
      <c r="R917" s="20" t="n"/>
    </row>
    <row r="918" ht="20" customHeight="1" s="1">
      <c r="A918" s="21" t="inlineStr">
        <is>
          <t>19994</t>
        </is>
      </c>
      <c r="B918" s="22" t="inlineStr">
        <is>
          <t>Morfose</t>
        </is>
      </c>
      <c r="C918" s="21" t="inlineStr">
        <is>
          <t>8681701000500</t>
        </is>
      </c>
      <c r="D918" s="22" t="inlineStr">
        <is>
          <t>Morfose Kondisioner 2Fazli Biyotin 220ml</t>
        </is>
      </c>
      <c r="E918" s="23" t="n">
        <v>8.300000000000001</v>
      </c>
      <c r="F918" s="23" t="n">
        <v>24</v>
      </c>
      <c r="G918" s="23" t="n">
        <v>29</v>
      </c>
      <c r="H918" s="23" t="n"/>
      <c r="I918" s="23" t="n"/>
      <c r="J918" s="23" t="n"/>
      <c r="K918" s="19">
        <f>H918+I918+J918</f>
        <v/>
      </c>
      <c r="L918" s="19">
        <f>K918-G918</f>
        <v/>
      </c>
      <c r="M918" s="20">
        <f>L918*E918</f>
        <v/>
      </c>
      <c r="N918" s="20" t="n">
        <v>50</v>
      </c>
      <c r="O918" s="20" t="n"/>
      <c r="P918" s="20">
        <f>O918-N918</f>
        <v/>
      </c>
      <c r="Q918" s="20">
        <f>P918*E918</f>
        <v/>
      </c>
      <c r="R918" s="20" t="n"/>
    </row>
    <row r="919" ht="20" customHeight="1" s="1">
      <c r="A919" s="16" t="inlineStr">
        <is>
          <t>21882</t>
        </is>
      </c>
      <c r="B919" s="17" t="inlineStr">
        <is>
          <t>Morfose</t>
        </is>
      </c>
      <c r="C919" s="16" t="inlineStr">
        <is>
          <t>8681701014743</t>
        </is>
      </c>
      <c r="D919" s="17" t="inlineStr">
        <is>
          <t>Morfose Beden Spreyi Milk Therapy 250ml</t>
        </is>
      </c>
      <c r="E919" s="18" t="n">
        <v>10.2</v>
      </c>
      <c r="F919" s="18" t="n">
        <v>24</v>
      </c>
      <c r="G919" s="18" t="n">
        <v>1</v>
      </c>
      <c r="H919" s="18" t="n"/>
      <c r="I919" s="18" t="n"/>
      <c r="J919" s="18" t="n"/>
      <c r="K919" s="19" t="n"/>
      <c r="L919" s="19" t="n"/>
      <c r="M919" s="20" t="n"/>
      <c r="N919" s="20" t="n">
        <v>50</v>
      </c>
      <c r="O919" s="20" t="n"/>
      <c r="P919" s="20">
        <f>O919-N919</f>
        <v/>
      </c>
      <c r="Q919" s="20">
        <f>P919*E919</f>
        <v/>
      </c>
      <c r="R919" s="20" t="n"/>
    </row>
    <row r="920" ht="20" customHeight="1" s="1">
      <c r="A920" s="21" t="inlineStr">
        <is>
          <t>20801</t>
        </is>
      </c>
      <c r="B920" s="22" t="inlineStr">
        <is>
          <t>Morfose</t>
        </is>
      </c>
      <c r="C920" s="21" t="inlineStr">
        <is>
          <t>8681701007905</t>
        </is>
      </c>
      <c r="D920" s="22" t="inlineStr">
        <is>
          <t>Morfose Sac Yagi Kremi Milk Therapy 200ml</t>
        </is>
      </c>
      <c r="E920" s="23" t="n">
        <v>14.6</v>
      </c>
      <c r="F920" s="23" t="n">
        <v>24</v>
      </c>
      <c r="G920" s="23" t="n">
        <v>35</v>
      </c>
      <c r="H920" s="23" t="n"/>
      <c r="I920" s="23" t="n"/>
      <c r="J920" s="23" t="n"/>
      <c r="K920" s="19">
        <f>H920+I920+J920</f>
        <v/>
      </c>
      <c r="L920" s="19">
        <f>K920-G920</f>
        <v/>
      </c>
      <c r="M920" s="20">
        <f>L920*E920</f>
        <v/>
      </c>
      <c r="N920" s="20" t="n">
        <v>50</v>
      </c>
      <c r="O920" s="20" t="n"/>
      <c r="P920" s="20">
        <f>O920-N920</f>
        <v/>
      </c>
      <c r="Q920" s="20">
        <f>P920*E920</f>
        <v/>
      </c>
      <c r="R920" s="20" t="n"/>
    </row>
    <row r="921" ht="20" customHeight="1" s="1">
      <c r="A921" s="16" t="inlineStr">
        <is>
          <t>20806</t>
        </is>
      </c>
      <c r="B921" s="17" t="inlineStr">
        <is>
          <t>Morfose</t>
        </is>
      </c>
      <c r="C921" s="16" t="inlineStr">
        <is>
          <t>8681701004263</t>
        </is>
      </c>
      <c r="D921" s="17" t="inlineStr">
        <is>
          <t>Morfose Sac Serumu Milk Therapy 100ml</t>
        </is>
      </c>
      <c r="E921" s="18" t="n">
        <v>10.5</v>
      </c>
      <c r="F921" s="18" t="n">
        <v>24</v>
      </c>
      <c r="G921" s="18" t="n">
        <v>38</v>
      </c>
      <c r="H921" s="18" t="n"/>
      <c r="I921" s="18" t="n"/>
      <c r="J921" s="18" t="n"/>
      <c r="K921" s="19">
        <f>H921+I921+J921</f>
        <v/>
      </c>
      <c r="L921" s="19">
        <f>K921-G921</f>
        <v/>
      </c>
      <c r="M921" s="20">
        <f>L921*E921</f>
        <v/>
      </c>
      <c r="N921" s="20" t="n">
        <v>50</v>
      </c>
      <c r="O921" s="20" t="n"/>
      <c r="P921" s="20">
        <f>O921-N921</f>
        <v/>
      </c>
      <c r="Q921" s="20">
        <f>P921*E921</f>
        <v/>
      </c>
      <c r="R921" s="20" t="n"/>
    </row>
    <row r="922" ht="20" customHeight="1" s="1">
      <c r="A922" s="21" t="inlineStr">
        <is>
          <t>21649</t>
        </is>
      </c>
      <c r="B922" s="22" t="inlineStr">
        <is>
          <t>Morfose</t>
        </is>
      </c>
      <c r="C922" s="21" t="inlineStr">
        <is>
          <t>8681701014200</t>
        </is>
      </c>
      <c r="D922" s="22" t="inlineStr">
        <is>
          <t>Morfose Sac Etri Milk Therapy 100ml</t>
        </is>
      </c>
      <c r="E922" s="23" t="n">
        <v>19.8</v>
      </c>
      <c r="F922" s="23" t="n">
        <v>12</v>
      </c>
      <c r="G922" s="23" t="n">
        <v>61</v>
      </c>
      <c r="H922" s="23" t="n"/>
      <c r="I922" s="23" t="n"/>
      <c r="J922" s="23" t="n"/>
      <c r="K922" s="19">
        <f>H922+I922+J922</f>
        <v/>
      </c>
      <c r="L922" s="19">
        <f>K922-G922</f>
        <v/>
      </c>
      <c r="M922" s="20">
        <f>L922*E922</f>
        <v/>
      </c>
      <c r="N922" s="20" t="n">
        <v>50</v>
      </c>
      <c r="O922" s="20" t="n"/>
      <c r="P922" s="20">
        <f>O922-N922</f>
        <v/>
      </c>
      <c r="Q922" s="20">
        <f>P922*E922</f>
        <v/>
      </c>
      <c r="R922" s="20" t="n"/>
    </row>
    <row r="923" ht="20" customHeight="1" s="1">
      <c r="A923" s="16" t="inlineStr">
        <is>
          <t>20006</t>
        </is>
      </c>
      <c r="B923" s="17" t="inlineStr">
        <is>
          <t>Morfose</t>
        </is>
      </c>
      <c r="C923" s="16" t="inlineStr">
        <is>
          <t>8681701005543</t>
        </is>
      </c>
      <c r="D923" s="17" t="inlineStr">
        <is>
          <t>Morfose Sac Serumu Hair Drops Biyotin 100ml</t>
        </is>
      </c>
      <c r="E923" s="18" t="n">
        <v>14.3</v>
      </c>
      <c r="F923" s="18" t="n">
        <v>12</v>
      </c>
      <c r="G923" s="18" t="n">
        <v>37</v>
      </c>
      <c r="H923" s="18" t="n"/>
      <c r="I923" s="18" t="n"/>
      <c r="J923" s="18" t="n"/>
      <c r="K923" s="19">
        <f>H923+I923+J923</f>
        <v/>
      </c>
      <c r="L923" s="19">
        <f>K923-G923</f>
        <v/>
      </c>
      <c r="M923" s="20">
        <f>L923*E923</f>
        <v/>
      </c>
      <c r="N923" s="20" t="n">
        <v>50</v>
      </c>
      <c r="O923" s="20" t="n"/>
      <c r="P923" s="20">
        <f>O923-N923</f>
        <v/>
      </c>
      <c r="Q923" s="20">
        <f>P923*E923</f>
        <v/>
      </c>
      <c r="R923" s="20" t="n"/>
    </row>
    <row r="924" ht="20" customHeight="1" s="1">
      <c r="A924" s="21" t="inlineStr">
        <is>
          <t>20007</t>
        </is>
      </c>
      <c r="B924" s="22" t="inlineStr">
        <is>
          <t>Morfose</t>
        </is>
      </c>
      <c r="C924" s="21" t="inlineStr">
        <is>
          <t>8681701005550</t>
        </is>
      </c>
      <c r="D924" s="22" t="inlineStr">
        <is>
          <t>Morfose Sac Serumu Hair Drops Keratin 100ml</t>
        </is>
      </c>
      <c r="E924" s="23" t="n">
        <v>19.3</v>
      </c>
      <c r="F924" s="23" t="n">
        <v>12</v>
      </c>
      <c r="G924" s="23" t="n">
        <v>36</v>
      </c>
      <c r="H924" s="23" t="n"/>
      <c r="I924" s="23" t="n"/>
      <c r="J924" s="23" t="n"/>
      <c r="K924" s="19">
        <f>H924+I924+J924</f>
        <v/>
      </c>
      <c r="L924" s="19">
        <f>K924-G924</f>
        <v/>
      </c>
      <c r="M924" s="20">
        <f>L924*E924</f>
        <v/>
      </c>
      <c r="N924" s="20" t="n">
        <v>50</v>
      </c>
      <c r="O924" s="20" t="n"/>
      <c r="P924" s="20">
        <f>O924-N924</f>
        <v/>
      </c>
      <c r="Q924" s="20">
        <f>P924*E924</f>
        <v/>
      </c>
      <c r="R924" s="20" t="n"/>
    </row>
    <row r="925" ht="20" customHeight="1" s="1">
      <c r="A925" s="16" t="inlineStr">
        <is>
          <t>20008</t>
        </is>
      </c>
      <c r="B925" s="17" t="inlineStr">
        <is>
          <t>Morfose</t>
        </is>
      </c>
      <c r="C925" s="16" t="inlineStr">
        <is>
          <t>8681701005567</t>
        </is>
      </c>
      <c r="D925" s="17" t="inlineStr">
        <is>
          <t>Morfose Sac Serumu Hair Drops Kolajen 100ml</t>
        </is>
      </c>
      <c r="E925" s="18" t="n">
        <v>19.3</v>
      </c>
      <c r="F925" s="18" t="n">
        <v>12</v>
      </c>
      <c r="G925" s="18" t="n">
        <v>40</v>
      </c>
      <c r="H925" s="18" t="n"/>
      <c r="I925" s="18" t="n"/>
      <c r="J925" s="18" t="n"/>
      <c r="K925" s="19">
        <f>H925+I925+J925</f>
        <v/>
      </c>
      <c r="L925" s="19">
        <f>K925-G925</f>
        <v/>
      </c>
      <c r="M925" s="20">
        <f>L925*E925</f>
        <v/>
      </c>
      <c r="N925" s="20" t="n">
        <v>50</v>
      </c>
      <c r="O925" s="20" t="n"/>
      <c r="P925" s="20">
        <f>O925-N925</f>
        <v/>
      </c>
      <c r="Q925" s="20">
        <f>P925*E925</f>
        <v/>
      </c>
      <c r="R925" s="20" t="n"/>
    </row>
    <row r="926" ht="20" customHeight="1" s="1">
      <c r="A926" s="21" t="inlineStr">
        <is>
          <t>20017</t>
        </is>
      </c>
      <c r="B926" s="22" t="inlineStr">
        <is>
          <t>Morfose</t>
        </is>
      </c>
      <c r="C926" s="21" t="inlineStr">
        <is>
          <t>8698655383108</t>
        </is>
      </c>
      <c r="D926" s="22" t="inlineStr">
        <is>
          <t>Morfose Sac Serumu Dokulme Karsi Amp 6-li Set 10ml</t>
        </is>
      </c>
      <c r="E926" s="23" t="n">
        <v>21</v>
      </c>
      <c r="F926" s="23" t="n">
        <v>6</v>
      </c>
      <c r="G926" s="23" t="n">
        <v>5</v>
      </c>
      <c r="H926" s="23" t="n"/>
      <c r="I926" s="23" t="n"/>
      <c r="J926" s="23" t="n"/>
      <c r="K926" s="19" t="n"/>
      <c r="L926" s="19" t="n"/>
      <c r="M926" s="20" t="n"/>
      <c r="N926" s="20" t="n">
        <v>50</v>
      </c>
      <c r="O926" s="20" t="n"/>
      <c r="P926" s="20">
        <f>O926-N926</f>
        <v/>
      </c>
      <c r="Q926" s="20">
        <f>P926*E926</f>
        <v/>
      </c>
      <c r="R926" s="20" t="n"/>
    </row>
    <row r="927" ht="20" customHeight="1" s="1">
      <c r="A927" s="16" t="inlineStr">
        <is>
          <t>20010</t>
        </is>
      </c>
      <c r="B927" s="17" t="inlineStr">
        <is>
          <t>Morfose</t>
        </is>
      </c>
      <c r="C927" s="16" t="inlineStr">
        <is>
          <t>8698655389971</t>
        </is>
      </c>
      <c r="D927" s="17" t="inlineStr">
        <is>
          <t>Morfose Sac Yagi Bitkisel Argan 100ml</t>
        </is>
      </c>
      <c r="E927" s="18" t="n">
        <v>18.6</v>
      </c>
      <c r="F927" s="18" t="n">
        <v>12</v>
      </c>
      <c r="G927" s="18" t="n">
        <v>15</v>
      </c>
      <c r="H927" s="18" t="n"/>
      <c r="I927" s="18" t="n"/>
      <c r="J927" s="18" t="n"/>
      <c r="K927" s="19">
        <f>H927+I927+J927</f>
        <v/>
      </c>
      <c r="L927" s="19">
        <f>K927-G927</f>
        <v/>
      </c>
      <c r="M927" s="20">
        <f>L927*E927</f>
        <v/>
      </c>
      <c r="N927" s="20" t="n">
        <v>50</v>
      </c>
      <c r="O927" s="20" t="n"/>
      <c r="P927" s="20">
        <f>O927-N927</f>
        <v/>
      </c>
      <c r="Q927" s="20">
        <f>P927*E927</f>
        <v/>
      </c>
      <c r="R927" s="20" t="n"/>
    </row>
    <row r="928" ht="20" customHeight="1" s="1">
      <c r="A928" s="21" t="inlineStr">
        <is>
          <t>19990</t>
        </is>
      </c>
      <c r="B928" s="22" t="inlineStr">
        <is>
          <t>Morfose</t>
        </is>
      </c>
      <c r="C928" s="21" t="inlineStr">
        <is>
          <t>8698655383122</t>
        </is>
      </c>
      <c r="D928" s="22" t="inlineStr">
        <is>
          <t>Morfose Sampun Dokulmeye Karsi 300ml</t>
        </is>
      </c>
      <c r="E928" s="23" t="n">
        <v>9.4</v>
      </c>
      <c r="F928" s="23" t="n">
        <v>12</v>
      </c>
      <c r="G928" s="23" t="n">
        <v>28</v>
      </c>
      <c r="H928" s="23" t="n"/>
      <c r="I928" s="23" t="n"/>
      <c r="J928" s="23" t="n"/>
      <c r="K928" s="19">
        <f>H928+I928+J928</f>
        <v/>
      </c>
      <c r="L928" s="19">
        <f>K928-G928</f>
        <v/>
      </c>
      <c r="M928" s="20">
        <f>L928*E928</f>
        <v/>
      </c>
      <c r="N928" s="20" t="n">
        <v>50</v>
      </c>
      <c r="O928" s="20" t="n"/>
      <c r="P928" s="20">
        <f>O928-N928</f>
        <v/>
      </c>
      <c r="Q928" s="20">
        <f>P928*E928</f>
        <v/>
      </c>
      <c r="R928" s="20" t="n"/>
    </row>
    <row r="929" ht="20" customHeight="1" s="1">
      <c r="A929" s="16" t="inlineStr">
        <is>
          <t>20011</t>
        </is>
      </c>
      <c r="B929" s="17" t="inlineStr">
        <is>
          <t>Morfose</t>
        </is>
      </c>
      <c r="C929" s="16" t="inlineStr">
        <is>
          <t>8680678833883</t>
        </is>
      </c>
      <c r="D929" s="17" t="inlineStr">
        <is>
          <t>Morfose Sac Yagi Luxury Argan 100ml</t>
        </is>
      </c>
      <c r="E929" s="18" t="n">
        <v>18.6</v>
      </c>
      <c r="F929" s="18" t="n">
        <v>12</v>
      </c>
      <c r="G929" s="18" t="n">
        <v>17</v>
      </c>
      <c r="H929" s="18" t="n"/>
      <c r="I929" s="18" t="n"/>
      <c r="J929" s="18" t="n"/>
      <c r="K929" s="19">
        <f>H929+I929+J929</f>
        <v/>
      </c>
      <c r="L929" s="19">
        <f>K929-G929</f>
        <v/>
      </c>
      <c r="M929" s="20">
        <f>L929*E929</f>
        <v/>
      </c>
      <c r="N929" s="20" t="n">
        <v>50</v>
      </c>
      <c r="O929" s="20" t="n"/>
      <c r="P929" s="20">
        <f>O929-N929</f>
        <v/>
      </c>
      <c r="Q929" s="20">
        <f>P929*E929</f>
        <v/>
      </c>
      <c r="R929" s="20" t="n"/>
    </row>
    <row r="930" ht="20" customHeight="1" s="1">
      <c r="A930" s="21" t="inlineStr">
        <is>
          <t>20013</t>
        </is>
      </c>
      <c r="B930" s="22" t="inlineStr">
        <is>
          <t>Morfose</t>
        </is>
      </c>
      <c r="C930" s="21" t="inlineStr">
        <is>
          <t>8698655383702</t>
        </is>
      </c>
      <c r="D930" s="22" t="inlineStr">
        <is>
          <t>Morfose Sac Serumu Keratin 75ml</t>
        </is>
      </c>
      <c r="E930" s="23" t="n">
        <v>17</v>
      </c>
      <c r="F930" s="23" t="n">
        <v>24</v>
      </c>
      <c r="G930" s="23" t="n">
        <v>54</v>
      </c>
      <c r="H930" s="23" t="n"/>
      <c r="I930" s="23" t="n"/>
      <c r="J930" s="23" t="n"/>
      <c r="K930" s="19">
        <f>H930+I930+J930</f>
        <v/>
      </c>
      <c r="L930" s="19">
        <f>K930-G930</f>
        <v/>
      </c>
      <c r="M930" s="20">
        <f>L930*E930</f>
        <v/>
      </c>
      <c r="N930" s="20" t="n">
        <v>50</v>
      </c>
      <c r="O930" s="20" t="n"/>
      <c r="P930" s="20">
        <f>O930-N930</f>
        <v/>
      </c>
      <c r="Q930" s="20">
        <f>P930*E930</f>
        <v/>
      </c>
      <c r="R930" s="20" t="n"/>
    </row>
    <row r="931" ht="20" customHeight="1" s="1">
      <c r="A931" s="16" t="inlineStr">
        <is>
          <t>20014</t>
        </is>
      </c>
      <c r="B931" s="17" t="inlineStr">
        <is>
          <t>Morfose</t>
        </is>
      </c>
      <c r="C931" s="16" t="inlineStr">
        <is>
          <t>8698655383696</t>
        </is>
      </c>
      <c r="D931" s="17" t="inlineStr">
        <is>
          <t>Morfose Sac Serumu Argan 75ml</t>
        </is>
      </c>
      <c r="E931" s="18" t="n">
        <v>17</v>
      </c>
      <c r="F931" s="18" t="n">
        <v>24</v>
      </c>
      <c r="G931" s="18" t="n">
        <v>86</v>
      </c>
      <c r="H931" s="18" t="n"/>
      <c r="I931" s="18" t="n"/>
      <c r="J931" s="18" t="n"/>
      <c r="K931" s="19">
        <f>H931+I931+J931</f>
        <v/>
      </c>
      <c r="L931" s="19">
        <f>K931-G931</f>
        <v/>
      </c>
      <c r="M931" s="20">
        <f>L931*E931</f>
        <v/>
      </c>
      <c r="N931" s="20" t="n">
        <v>50</v>
      </c>
      <c r="O931" s="20" t="n"/>
      <c r="P931" s="20">
        <f>O931-N931</f>
        <v/>
      </c>
      <c r="Q931" s="20">
        <f>P931*E931</f>
        <v/>
      </c>
      <c r="R931" s="20" t="n"/>
    </row>
    <row r="932" ht="20" customHeight="1" s="1">
      <c r="A932" s="21" t="inlineStr">
        <is>
          <t>21875</t>
        </is>
      </c>
      <c r="B932" s="22" t="inlineStr">
        <is>
          <t>Morfose</t>
        </is>
      </c>
      <c r="C932" s="21" t="inlineStr">
        <is>
          <t>8681701014194</t>
        </is>
      </c>
      <c r="D932" s="22" t="inlineStr">
        <is>
          <t>Morfose Sac Geli Tube 150ml</t>
        </is>
      </c>
      <c r="E932" s="23" t="n">
        <v>8.5</v>
      </c>
      <c r="F932" s="23" t="n">
        <v>24</v>
      </c>
      <c r="G932" s="23" t="n">
        <v>36</v>
      </c>
      <c r="H932" s="23" t="n"/>
      <c r="I932" s="23" t="n"/>
      <c r="J932" s="23" t="n"/>
      <c r="K932" s="19">
        <f>H932+I932+J932</f>
        <v/>
      </c>
      <c r="L932" s="19">
        <f>K932-G932</f>
        <v/>
      </c>
      <c r="M932" s="20">
        <f>L932*E932</f>
        <v/>
      </c>
      <c r="N932" s="20" t="n">
        <v>50</v>
      </c>
      <c r="O932" s="20" t="n"/>
      <c r="P932" s="20">
        <f>O932-N932</f>
        <v/>
      </c>
      <c r="Q932" s="20">
        <f>P932*E932</f>
        <v/>
      </c>
      <c r="R932" s="20" t="n"/>
    </row>
    <row r="933" ht="20" customHeight="1" s="1">
      <c r="A933" s="16" t="inlineStr">
        <is>
          <t>20021</t>
        </is>
      </c>
      <c r="B933" s="17" t="inlineStr">
        <is>
          <t>Morfose</t>
        </is>
      </c>
      <c r="C933" s="16" t="inlineStr">
        <is>
          <t>8680678832725</t>
        </is>
      </c>
      <c r="D933" s="17" t="inlineStr">
        <is>
          <t>Morfose Briyantin 175ml</t>
        </is>
      </c>
      <c r="E933" s="18" t="n">
        <v>5.3</v>
      </c>
      <c r="F933" s="18" t="n">
        <v>48</v>
      </c>
      <c r="G933" s="18" t="n">
        <v>25</v>
      </c>
      <c r="H933" s="18" t="n"/>
      <c r="I933" s="18" t="n"/>
      <c r="J933" s="18" t="n"/>
      <c r="K933" s="19">
        <f>H933+I933+J933</f>
        <v/>
      </c>
      <c r="L933" s="19">
        <f>K933-G933</f>
        <v/>
      </c>
      <c r="M933" s="20">
        <f>L933*E933</f>
        <v/>
      </c>
      <c r="N933" s="20" t="n">
        <v>50</v>
      </c>
      <c r="O933" s="20" t="n"/>
      <c r="P933" s="20">
        <f>O933-N933</f>
        <v/>
      </c>
      <c r="Q933" s="20">
        <f>P933*E933</f>
        <v/>
      </c>
      <c r="R933" s="20" t="n"/>
    </row>
    <row r="934" ht="20" customHeight="1" s="1">
      <c r="A934" s="21" t="inlineStr">
        <is>
          <t>20022</t>
        </is>
      </c>
      <c r="B934" s="22" t="inlineStr">
        <is>
          <t>Morfose</t>
        </is>
      </c>
      <c r="C934" s="21" t="inlineStr">
        <is>
          <t>8698655381296</t>
        </is>
      </c>
      <c r="D934" s="22" t="inlineStr">
        <is>
          <t>Morfose Sac Mumu (wax) Gel Super Aqua Turuncu 175ml</t>
        </is>
      </c>
      <c r="E934" s="23" t="n">
        <v>4.8</v>
      </c>
      <c r="F934" s="23" t="n">
        <v>48</v>
      </c>
      <c r="G934" s="23" t="n">
        <v>23</v>
      </c>
      <c r="H934" s="23" t="n"/>
      <c r="I934" s="23" t="n"/>
      <c r="J934" s="23" t="n"/>
      <c r="K934" s="19">
        <f>H934+I934+J934</f>
        <v/>
      </c>
      <c r="L934" s="19">
        <f>K934-G934</f>
        <v/>
      </c>
      <c r="M934" s="20">
        <f>L934*E934</f>
        <v/>
      </c>
      <c r="N934" s="20" t="n">
        <v>50</v>
      </c>
      <c r="O934" s="20" t="n"/>
      <c r="P934" s="20">
        <f>O934-N934</f>
        <v/>
      </c>
      <c r="Q934" s="20">
        <f>P934*E934</f>
        <v/>
      </c>
      <c r="R934" s="20" t="n"/>
    </row>
    <row r="935" ht="20" customHeight="1" s="1">
      <c r="A935" s="16" t="inlineStr">
        <is>
          <t>20023</t>
        </is>
      </c>
      <c r="B935" s="17" t="inlineStr">
        <is>
          <t>Morfose</t>
        </is>
      </c>
      <c r="C935" s="16" t="inlineStr">
        <is>
          <t>8698655380633</t>
        </is>
      </c>
      <c r="D935" s="17" t="inlineStr">
        <is>
          <t>Morfose Sac Mumu (wax) Gel Aqua Extra Mavi 175ml</t>
        </is>
      </c>
      <c r="E935" s="18" t="n">
        <v>4.8</v>
      </c>
      <c r="F935" s="18" t="n">
        <v>48</v>
      </c>
      <c r="G935" s="18" t="n">
        <v>72</v>
      </c>
      <c r="H935" s="18" t="n"/>
      <c r="I935" s="18" t="n"/>
      <c r="J935" s="18" t="n"/>
      <c r="K935" s="19">
        <f>H935+I935+J935</f>
        <v/>
      </c>
      <c r="L935" s="19">
        <f>K935-G935</f>
        <v/>
      </c>
      <c r="M935" s="20">
        <f>L935*E935</f>
        <v/>
      </c>
      <c r="N935" s="20" t="n">
        <v>50</v>
      </c>
      <c r="O935" s="20" t="n"/>
      <c r="P935" s="20">
        <f>O935-N935</f>
        <v/>
      </c>
      <c r="Q935" s="20">
        <f>P935*E935</f>
        <v/>
      </c>
      <c r="R935" s="20" t="n"/>
    </row>
    <row r="936" ht="20" customHeight="1" s="1">
      <c r="A936" s="21" t="inlineStr">
        <is>
          <t>20024</t>
        </is>
      </c>
      <c r="B936" s="22" t="inlineStr">
        <is>
          <t>Morfose</t>
        </is>
      </c>
      <c r="C936" s="21" t="inlineStr">
        <is>
          <t>8698655380565</t>
        </is>
      </c>
      <c r="D936" s="22" t="inlineStr">
        <is>
          <t>Morfose Sac Mumu (wax) Gel Aqua Ultra Kirmizi 175ml</t>
        </is>
      </c>
      <c r="E936" s="23" t="n">
        <v>4.8</v>
      </c>
      <c r="F936" s="23" t="n">
        <v>48</v>
      </c>
      <c r="G936" s="23" t="n">
        <v>33</v>
      </c>
      <c r="H936" s="23" t="n"/>
      <c r="I936" s="23" t="n"/>
      <c r="J936" s="23" t="n"/>
      <c r="K936" s="19">
        <f>H936+I936+J936</f>
        <v/>
      </c>
      <c r="L936" s="19">
        <f>K936-G936</f>
        <v/>
      </c>
      <c r="M936" s="20">
        <f>L936*E936</f>
        <v/>
      </c>
      <c r="N936" s="20" t="n">
        <v>50</v>
      </c>
      <c r="O936" s="20" t="n"/>
      <c r="P936" s="20">
        <f>O936-N936</f>
        <v/>
      </c>
      <c r="Q936" s="20">
        <f>P936*E936</f>
        <v/>
      </c>
      <c r="R936" s="20" t="n"/>
    </row>
    <row r="937" ht="20" customHeight="1" s="1">
      <c r="A937" s="16" t="inlineStr">
        <is>
          <t>20025</t>
        </is>
      </c>
      <c r="B937" s="17" t="inlineStr">
        <is>
          <t>Morfose</t>
        </is>
      </c>
      <c r="C937" s="16" t="inlineStr">
        <is>
          <t>8681701007226</t>
        </is>
      </c>
      <c r="D937" s="17" t="inlineStr">
        <is>
          <t>Morfose Sac Mumu (wax) Gel Max Aqua 175ml</t>
        </is>
      </c>
      <c r="E937" s="18" t="n">
        <v>4.8</v>
      </c>
      <c r="F937" s="18" t="n">
        <v>48</v>
      </c>
      <c r="G937" s="18" t="n">
        <v>24</v>
      </c>
      <c r="H937" s="18" t="n"/>
      <c r="I937" s="18" t="n"/>
      <c r="J937" s="18" t="n"/>
      <c r="K937" s="19" t="n"/>
      <c r="L937" s="19" t="n"/>
      <c r="M937" s="20" t="n"/>
      <c r="N937" s="20" t="n">
        <v>50</v>
      </c>
      <c r="O937" s="20" t="n"/>
      <c r="P937" s="20">
        <f>O937-N937</f>
        <v/>
      </c>
      <c r="Q937" s="20">
        <f>P937*E937</f>
        <v/>
      </c>
      <c r="R937" s="20" t="n"/>
    </row>
    <row r="938" ht="20" customHeight="1" s="1">
      <c r="A938" s="21" t="inlineStr">
        <is>
          <t>20026</t>
        </is>
      </c>
      <c r="B938" s="22" t="inlineStr">
        <is>
          <t>Morfose</t>
        </is>
      </c>
      <c r="C938" s="21" t="inlineStr">
        <is>
          <t>8681701007219</t>
        </is>
      </c>
      <c r="D938" s="22" t="inlineStr">
        <is>
          <t>Morfose Sac Mumu (wax) Gel Deep Aqua 175ml</t>
        </is>
      </c>
      <c r="E938" s="23" t="n">
        <v>4.8</v>
      </c>
      <c r="F938" s="23" t="n">
        <v>48</v>
      </c>
      <c r="G938" s="23" t="n">
        <v>32</v>
      </c>
      <c r="H938" s="23" t="n"/>
      <c r="I938" s="23" t="n"/>
      <c r="J938" s="23" t="n"/>
      <c r="K938" s="19">
        <f>H938+I938+J938</f>
        <v/>
      </c>
      <c r="L938" s="19">
        <f>K938-G938</f>
        <v/>
      </c>
      <c r="M938" s="20">
        <f>L938*E938</f>
        <v/>
      </c>
      <c r="N938" s="20" t="n">
        <v>50</v>
      </c>
      <c r="O938" s="20" t="n"/>
      <c r="P938" s="20">
        <f>O938-N938</f>
        <v/>
      </c>
      <c r="Q938" s="20">
        <f>P938*E938</f>
        <v/>
      </c>
      <c r="R938" s="20" t="n"/>
    </row>
    <row r="939" ht="20" customHeight="1" s="1">
      <c r="A939" s="16" t="inlineStr">
        <is>
          <t>20027</t>
        </is>
      </c>
      <c r="B939" s="17" t="inlineStr">
        <is>
          <t>Morfose</t>
        </is>
      </c>
      <c r="C939" s="16" t="inlineStr">
        <is>
          <t>8681701008209</t>
        </is>
      </c>
      <c r="D939" s="17" t="inlineStr">
        <is>
          <t>Morfose Sac Mumu (wax) Matte Aqua Green 175ml</t>
        </is>
      </c>
      <c r="E939" s="18" t="n">
        <v>5.3</v>
      </c>
      <c r="F939" s="18" t="n">
        <v>48</v>
      </c>
      <c r="G939" s="18" t="n">
        <v>22</v>
      </c>
      <c r="H939" s="18" t="n"/>
      <c r="I939" s="18" t="n"/>
      <c r="J939" s="18" t="n"/>
      <c r="K939" s="19">
        <f>H939+I939+J939</f>
        <v/>
      </c>
      <c r="L939" s="19">
        <f>K939-G939</f>
        <v/>
      </c>
      <c r="M939" s="20">
        <f>L939*E939</f>
        <v/>
      </c>
      <c r="N939" s="20" t="n">
        <v>50</v>
      </c>
      <c r="O939" s="20" t="n"/>
      <c r="P939" s="20">
        <f>O939-N939</f>
        <v/>
      </c>
      <c r="Q939" s="20">
        <f>P939*E939</f>
        <v/>
      </c>
      <c r="R939" s="20" t="n"/>
    </row>
    <row r="940" ht="20" customHeight="1" s="1">
      <c r="A940" s="21" t="inlineStr">
        <is>
          <t>20028</t>
        </is>
      </c>
      <c r="B940" s="22" t="inlineStr">
        <is>
          <t>Morfose</t>
        </is>
      </c>
      <c r="C940" s="21" t="inlineStr">
        <is>
          <t>8681701007912</t>
        </is>
      </c>
      <c r="D940" s="22" t="inlineStr">
        <is>
          <t>Morfose Sac Mumu (wax) Spider Ultra 150ml</t>
        </is>
      </c>
      <c r="E940" s="23" t="n">
        <v>6.4</v>
      </c>
      <c r="F940" s="23" t="n">
        <v>48</v>
      </c>
      <c r="G940" s="23" t="n">
        <v>0</v>
      </c>
      <c r="H940" s="23" t="n"/>
      <c r="I940" s="23" t="n"/>
      <c r="J940" s="23" t="n"/>
      <c r="K940" s="19">
        <f>H940+I940+J940</f>
        <v/>
      </c>
      <c r="L940" s="19">
        <f>K940-G940</f>
        <v/>
      </c>
      <c r="M940" s="20">
        <f>L940*E940</f>
        <v/>
      </c>
      <c r="N940" s="20" t="n">
        <v>50</v>
      </c>
      <c r="O940" s="20" t="n"/>
      <c r="P940" s="20">
        <f>O940-N940</f>
        <v/>
      </c>
      <c r="Q940" s="20">
        <f>P940*E940</f>
        <v/>
      </c>
      <c r="R940" s="20" t="n"/>
    </row>
    <row r="941" ht="20" customHeight="1" s="1">
      <c r="A941" s="16" t="inlineStr">
        <is>
          <t>20029</t>
        </is>
      </c>
      <c r="B941" s="17" t="inlineStr">
        <is>
          <t>Morfose</t>
        </is>
      </c>
      <c r="C941" s="16" t="inlineStr">
        <is>
          <t>8681701006700</t>
        </is>
      </c>
      <c r="D941" s="17" t="inlineStr">
        <is>
          <t>Morfose Sac Spreyi Renkli Red Crush 150ml</t>
        </is>
      </c>
      <c r="E941" s="18" t="n">
        <v>4.6</v>
      </c>
      <c r="F941" s="18" t="n">
        <v>48</v>
      </c>
      <c r="G941" s="18" t="n">
        <v>78</v>
      </c>
      <c r="H941" s="18" t="n"/>
      <c r="I941" s="18" t="n"/>
      <c r="J941" s="18" t="n"/>
      <c r="K941" s="19">
        <f>H941+I941+J941</f>
        <v/>
      </c>
      <c r="L941" s="19">
        <f>K941-G941</f>
        <v/>
      </c>
      <c r="M941" s="20">
        <f>L941*E941</f>
        <v/>
      </c>
      <c r="N941" s="20" t="n">
        <v>50</v>
      </c>
      <c r="O941" s="20" t="n"/>
      <c r="P941" s="20">
        <f>O941-N941</f>
        <v/>
      </c>
      <c r="Q941" s="20">
        <f>P941*E941</f>
        <v/>
      </c>
      <c r="R941" s="20" t="n"/>
    </row>
    <row r="942" ht="20" customHeight="1" s="1">
      <c r="A942" s="21" t="inlineStr">
        <is>
          <t>20030</t>
        </is>
      </c>
      <c r="B942" s="22" t="inlineStr">
        <is>
          <t>Morfose</t>
        </is>
      </c>
      <c r="C942" s="21" t="inlineStr">
        <is>
          <t>8681701006663</t>
        </is>
      </c>
      <c r="D942" s="22" t="inlineStr">
        <is>
          <t>Morfose Sac Spreyi Renkli Blue Sky 150ml</t>
        </is>
      </c>
      <c r="E942" s="23" t="n">
        <v>4.6</v>
      </c>
      <c r="F942" s="23" t="n">
        <v>48</v>
      </c>
      <c r="G942" s="23" t="n">
        <v>115</v>
      </c>
      <c r="H942" s="23" t="n"/>
      <c r="I942" s="23" t="n"/>
      <c r="J942" s="23" t="n"/>
      <c r="K942" s="19">
        <f>H942+I942+J942</f>
        <v/>
      </c>
      <c r="L942" s="19">
        <f>K942-G942</f>
        <v/>
      </c>
      <c r="M942" s="20">
        <f>L942*E942</f>
        <v/>
      </c>
      <c r="N942" s="20" t="n">
        <v>50</v>
      </c>
      <c r="O942" s="20" t="n"/>
      <c r="P942" s="20">
        <f>O942-N942</f>
        <v/>
      </c>
      <c r="Q942" s="20">
        <f>P942*E942</f>
        <v/>
      </c>
      <c r="R942" s="20" t="n"/>
    </row>
    <row r="943" ht="20" customHeight="1" s="1">
      <c r="A943" s="16" t="inlineStr">
        <is>
          <t>20031</t>
        </is>
      </c>
      <c r="B943" s="17" t="inlineStr">
        <is>
          <t>Morfose</t>
        </is>
      </c>
      <c r="C943" s="16" t="inlineStr">
        <is>
          <t>8681701006670</t>
        </is>
      </c>
      <c r="D943" s="17" t="inlineStr">
        <is>
          <t>Morfose Sac Spreyi Renkli Purple Fire 150ml</t>
        </is>
      </c>
      <c r="E943" s="18" t="n">
        <v>4.6</v>
      </c>
      <c r="F943" s="18" t="n">
        <v>48</v>
      </c>
      <c r="G943" s="18" t="n">
        <v>163</v>
      </c>
      <c r="H943" s="18" t="n"/>
      <c r="I943" s="18" t="n"/>
      <c r="J943" s="18" t="n"/>
      <c r="K943" s="19">
        <f>H943+I943+J943</f>
        <v/>
      </c>
      <c r="L943" s="19">
        <f>K943-G943</f>
        <v/>
      </c>
      <c r="M943" s="20">
        <f>L943*E943</f>
        <v/>
      </c>
      <c r="N943" s="20" t="n">
        <v>50</v>
      </c>
      <c r="O943" s="20" t="n"/>
      <c r="P943" s="20">
        <f>O943-N943</f>
        <v/>
      </c>
      <c r="Q943" s="20">
        <f>P943*E943</f>
        <v/>
      </c>
      <c r="R943" s="20" t="n"/>
    </row>
    <row r="944" ht="20" customHeight="1" s="1">
      <c r="A944" s="21" t="inlineStr">
        <is>
          <t>20032</t>
        </is>
      </c>
      <c r="B944" s="22" t="inlineStr">
        <is>
          <t>Morfose</t>
        </is>
      </c>
      <c r="C944" s="21" t="inlineStr">
        <is>
          <t>8681701006687</t>
        </is>
      </c>
      <c r="D944" s="22" t="inlineStr">
        <is>
          <t>Morfose Sac Spreyi Renkli Majestic Silver 150ml</t>
        </is>
      </c>
      <c r="E944" s="23" t="n">
        <v>4.6</v>
      </c>
      <c r="F944" s="23" t="n">
        <v>48</v>
      </c>
      <c r="G944" s="23" t="n">
        <v>189</v>
      </c>
      <c r="H944" s="23" t="n"/>
      <c r="I944" s="23" t="n"/>
      <c r="J944" s="23" t="n"/>
      <c r="K944" s="19">
        <f>H944+I944+J944</f>
        <v/>
      </c>
      <c r="L944" s="19">
        <f>K944-G944</f>
        <v/>
      </c>
      <c r="M944" s="20">
        <f>L944*E944</f>
        <v/>
      </c>
      <c r="N944" s="20" t="n">
        <v>50</v>
      </c>
      <c r="O944" s="20" t="n"/>
      <c r="P944" s="20">
        <f>O944-N944</f>
        <v/>
      </c>
      <c r="Q944" s="20">
        <f>P944*E944</f>
        <v/>
      </c>
      <c r="R944" s="20" t="n"/>
    </row>
    <row r="945" ht="20" customHeight="1" s="1">
      <c r="A945" s="16" t="inlineStr">
        <is>
          <t>20033</t>
        </is>
      </c>
      <c r="B945" s="17" t="inlineStr">
        <is>
          <t>Morfose</t>
        </is>
      </c>
      <c r="C945" s="16" t="inlineStr">
        <is>
          <t>8681701006694</t>
        </is>
      </c>
      <c r="D945" s="17" t="inlineStr">
        <is>
          <t>Morfose Sac Spreyi Renkli Dazzle Gold 150ml</t>
        </is>
      </c>
      <c r="E945" s="18" t="n">
        <v>4.6</v>
      </c>
      <c r="F945" s="18" t="n">
        <v>48</v>
      </c>
      <c r="G945" s="18" t="n">
        <v>111</v>
      </c>
      <c r="H945" s="18" t="n"/>
      <c r="I945" s="18" t="n"/>
      <c r="J945" s="18" t="n"/>
      <c r="K945" s="19">
        <f>H945+I945+J945</f>
        <v/>
      </c>
      <c r="L945" s="19">
        <f>K945-G945</f>
        <v/>
      </c>
      <c r="M945" s="20">
        <f>L945*E945</f>
        <v/>
      </c>
      <c r="N945" s="20" t="n">
        <v>50</v>
      </c>
      <c r="O945" s="20" t="n"/>
      <c r="P945" s="20">
        <f>O945-N945</f>
        <v/>
      </c>
      <c r="Q945" s="20">
        <f>P945*E945</f>
        <v/>
      </c>
      <c r="R945" s="20" t="n"/>
    </row>
    <row r="946" ht="20" customHeight="1" s="1">
      <c r="A946" s="21" t="inlineStr">
        <is>
          <t>20034</t>
        </is>
      </c>
      <c r="B946" s="22" t="inlineStr">
        <is>
          <t>Morfose</t>
        </is>
      </c>
      <c r="C946" s="21" t="inlineStr">
        <is>
          <t>8681701006717</t>
        </is>
      </c>
      <c r="D946" s="22" t="inlineStr">
        <is>
          <t>Morfose Sac Spreyi Renkli Yellow Mood 150ml</t>
        </is>
      </c>
      <c r="E946" s="23" t="n">
        <v>4.6</v>
      </c>
      <c r="F946" s="23" t="n">
        <v>48</v>
      </c>
      <c r="G946" s="23" t="n">
        <v>158</v>
      </c>
      <c r="H946" s="23" t="n"/>
      <c r="I946" s="23" t="n"/>
      <c r="J946" s="23" t="n"/>
      <c r="K946" s="19">
        <f>H946+I946+J946</f>
        <v/>
      </c>
      <c r="L946" s="19">
        <f>K946-G946</f>
        <v/>
      </c>
      <c r="M946" s="20">
        <f>L946*E946</f>
        <v/>
      </c>
      <c r="N946" s="20" t="n">
        <v>50</v>
      </c>
      <c r="O946" s="20" t="n"/>
      <c r="P946" s="20">
        <f>O946-N946</f>
        <v/>
      </c>
      <c r="Q946" s="20">
        <f>P946*E946</f>
        <v/>
      </c>
      <c r="R946" s="20" t="n"/>
    </row>
    <row r="947" ht="20" customHeight="1" s="1">
      <c r="A947" s="16" t="inlineStr">
        <is>
          <t>20035</t>
        </is>
      </c>
      <c r="B947" s="17" t="inlineStr">
        <is>
          <t>Morfose</t>
        </is>
      </c>
      <c r="C947" s="16" t="inlineStr">
        <is>
          <t>8681701006953</t>
        </is>
      </c>
      <c r="D947" s="17" t="inlineStr">
        <is>
          <t>Morfose Sac Spreyi Renkli Pink Sugar 150ml</t>
        </is>
      </c>
      <c r="E947" s="18" t="n">
        <v>4.6</v>
      </c>
      <c r="F947" s="18" t="n">
        <v>48</v>
      </c>
      <c r="G947" s="18" t="n">
        <v>36</v>
      </c>
      <c r="H947" s="18" t="n"/>
      <c r="I947" s="18" t="n"/>
      <c r="J947" s="18" t="n"/>
      <c r="K947" s="19">
        <f>H947+I947+J947</f>
        <v/>
      </c>
      <c r="L947" s="19">
        <f>K947-G947</f>
        <v/>
      </c>
      <c r="M947" s="20">
        <f>L947*E947</f>
        <v/>
      </c>
      <c r="N947" s="20" t="n">
        <v>50</v>
      </c>
      <c r="O947" s="20" t="n"/>
      <c r="P947" s="20">
        <f>O947-N947</f>
        <v/>
      </c>
      <c r="Q947" s="20">
        <f>P947*E947</f>
        <v/>
      </c>
      <c r="R947" s="20" t="n"/>
    </row>
    <row r="948" ht="20" customHeight="1" s="1">
      <c r="A948" s="21" t="inlineStr">
        <is>
          <t>20036</t>
        </is>
      </c>
      <c r="B948" s="22" t="inlineStr">
        <is>
          <t>Morfose</t>
        </is>
      </c>
      <c r="C948" s="21" t="inlineStr">
        <is>
          <t>8681701006960</t>
        </is>
      </c>
      <c r="D948" s="22" t="inlineStr">
        <is>
          <t>Morfose Sac Spreyi Renkli Ever Green 150ml</t>
        </is>
      </c>
      <c r="E948" s="23" t="n">
        <v>4.6</v>
      </c>
      <c r="F948" s="23" t="n">
        <v>48</v>
      </c>
      <c r="G948" s="23" t="n">
        <v>159</v>
      </c>
      <c r="H948" s="23" t="n"/>
      <c r="I948" s="23" t="n"/>
      <c r="J948" s="23" t="n"/>
      <c r="K948" s="19">
        <f>H948+I948+J948</f>
        <v/>
      </c>
      <c r="L948" s="19">
        <f>K948-G948</f>
        <v/>
      </c>
      <c r="M948" s="20">
        <f>L948*E948</f>
        <v/>
      </c>
      <c r="N948" s="20" t="n">
        <v>50</v>
      </c>
      <c r="O948" s="20" t="n"/>
      <c r="P948" s="20">
        <f>O948-N948</f>
        <v/>
      </c>
      <c r="Q948" s="20">
        <f>P948*E948</f>
        <v/>
      </c>
      <c r="R948" s="20" t="n"/>
    </row>
    <row r="949" ht="20" customHeight="1" s="1">
      <c r="A949" s="16" t="inlineStr">
        <is>
          <t>20795</t>
        </is>
      </c>
      <c r="B949" s="17" t="inlineStr">
        <is>
          <t>Morfose</t>
        </is>
      </c>
      <c r="C949" s="16" t="inlineStr">
        <is>
          <t>8681701011742</t>
        </is>
      </c>
      <c r="D949" s="17" t="inlineStr">
        <is>
          <t>Morfose Quru Sampun Koyu Renkli Saclar 200ml</t>
        </is>
      </c>
      <c r="E949" s="18" t="n">
        <v>6.1</v>
      </c>
      <c r="F949" s="18" t="n">
        <v>12</v>
      </c>
      <c r="G949" s="18" t="n">
        <v>57</v>
      </c>
      <c r="H949" s="18" t="n"/>
      <c r="I949" s="18" t="n"/>
      <c r="J949" s="18" t="n"/>
      <c r="K949" s="19">
        <f>H949+I949+J949</f>
        <v/>
      </c>
      <c r="L949" s="19">
        <f>K949-G949</f>
        <v/>
      </c>
      <c r="M949" s="20">
        <f>L949*E949</f>
        <v/>
      </c>
      <c r="N949" s="20" t="n">
        <v>50</v>
      </c>
      <c r="O949" s="20" t="n"/>
      <c r="P949" s="20">
        <f>O949-N949</f>
        <v/>
      </c>
      <c r="Q949" s="20">
        <f>P949*E949</f>
        <v/>
      </c>
      <c r="R949" s="20" t="n"/>
    </row>
    <row r="950" ht="20" customHeight="1" s="1">
      <c r="A950" s="21" t="inlineStr">
        <is>
          <t>20796</t>
        </is>
      </c>
      <c r="B950" s="22" t="inlineStr">
        <is>
          <t>Morfose</t>
        </is>
      </c>
      <c r="C950" s="21" t="inlineStr">
        <is>
          <t>8681701011759</t>
        </is>
      </c>
      <c r="D950" s="22" t="inlineStr">
        <is>
          <t>Morfose Quru Sampun Kahve Renkli Saclar 200ml</t>
        </is>
      </c>
      <c r="E950" s="23" t="n">
        <v>6.1</v>
      </c>
      <c r="F950" s="23" t="n">
        <v>12</v>
      </c>
      <c r="G950" s="23" t="n">
        <v>51</v>
      </c>
      <c r="H950" s="23" t="n"/>
      <c r="I950" s="23" t="n"/>
      <c r="J950" s="23" t="n"/>
      <c r="K950" s="19">
        <f>H950+I950+J950</f>
        <v/>
      </c>
      <c r="L950" s="19">
        <f>K950-G950</f>
        <v/>
      </c>
      <c r="M950" s="20">
        <f>L950*E950</f>
        <v/>
      </c>
      <c r="N950" s="20" t="n">
        <v>50</v>
      </c>
      <c r="O950" s="20" t="n"/>
      <c r="P950" s="20">
        <f>O950-N950</f>
        <v/>
      </c>
      <c r="Q950" s="20">
        <f>P950*E950</f>
        <v/>
      </c>
      <c r="R950" s="20" t="n"/>
    </row>
    <row r="951" ht="20" customHeight="1" s="1">
      <c r="A951" s="16" t="inlineStr">
        <is>
          <t>20797</t>
        </is>
      </c>
      <c r="B951" s="17" t="inlineStr">
        <is>
          <t>Morfose</t>
        </is>
      </c>
      <c r="C951" s="16" t="inlineStr">
        <is>
          <t>8681701011773</t>
        </is>
      </c>
      <c r="D951" s="17" t="inlineStr">
        <is>
          <t>Morfose Quru Sampun Rastali&amp;Afro Saclar 200ml</t>
        </is>
      </c>
      <c r="E951" s="18" t="n">
        <v>6.1</v>
      </c>
      <c r="F951" s="18" t="n">
        <v>12</v>
      </c>
      <c r="G951" s="18" t="n">
        <v>70</v>
      </c>
      <c r="H951" s="18" t="n"/>
      <c r="I951" s="18" t="n"/>
      <c r="J951" s="18" t="n"/>
      <c r="K951" s="19">
        <f>H951+I951+J951</f>
        <v/>
      </c>
      <c r="L951" s="19">
        <f>K951-G951</f>
        <v/>
      </c>
      <c r="M951" s="20">
        <f>L951*E951</f>
        <v/>
      </c>
      <c r="N951" s="20" t="n">
        <v>50</v>
      </c>
      <c r="O951" s="20" t="n"/>
      <c r="P951" s="20">
        <f>O951-N951</f>
        <v/>
      </c>
      <c r="Q951" s="20">
        <f>P951*E951</f>
        <v/>
      </c>
      <c r="R951" s="20" t="n"/>
    </row>
    <row r="952" ht="20" customHeight="1" s="1">
      <c r="A952" s="21" t="inlineStr">
        <is>
          <t>20798</t>
        </is>
      </c>
      <c r="B952" s="22" t="inlineStr">
        <is>
          <t>Morfose</t>
        </is>
      </c>
      <c r="C952" s="21" t="inlineStr">
        <is>
          <t>8681701011766</t>
        </is>
      </c>
      <c r="D952" s="22" t="inlineStr">
        <is>
          <t>Morfose Quru Sampun Acik Renkli Saclar 200ml</t>
        </is>
      </c>
      <c r="E952" s="23" t="n">
        <v>6.1</v>
      </c>
      <c r="F952" s="23" t="n">
        <v>12</v>
      </c>
      <c r="G952" s="23" t="n">
        <v>73</v>
      </c>
      <c r="H952" s="23" t="n"/>
      <c r="I952" s="23" t="n"/>
      <c r="J952" s="23" t="n"/>
      <c r="K952" s="19">
        <f>H952+I952+J952</f>
        <v/>
      </c>
      <c r="L952" s="19">
        <f>K952-G952</f>
        <v/>
      </c>
      <c r="M952" s="20">
        <f>L952*E952</f>
        <v/>
      </c>
      <c r="N952" s="20" t="n">
        <v>50</v>
      </c>
      <c r="O952" s="20" t="n"/>
      <c r="P952" s="20">
        <f>O952-N952</f>
        <v/>
      </c>
      <c r="Q952" s="20">
        <f>P952*E952</f>
        <v/>
      </c>
      <c r="R952" s="20" t="n"/>
    </row>
    <row r="953" ht="20" customHeight="1" s="1">
      <c r="A953" s="16" t="inlineStr">
        <is>
          <t>20800</t>
        </is>
      </c>
      <c r="B953" s="17" t="inlineStr">
        <is>
          <t>Morfose</t>
        </is>
      </c>
      <c r="C953" s="16" t="inlineStr">
        <is>
          <t>8681701012145</t>
        </is>
      </c>
      <c r="D953" s="17" t="inlineStr">
        <is>
          <t>Morfose Quru Sampun Extra Hacim 200ml</t>
        </is>
      </c>
      <c r="E953" s="18" t="n">
        <v>6.1</v>
      </c>
      <c r="F953" s="18" t="n">
        <v>12</v>
      </c>
      <c r="G953" s="18" t="n">
        <v>84</v>
      </c>
      <c r="H953" s="18" t="n"/>
      <c r="I953" s="18" t="n"/>
      <c r="J953" s="18" t="n"/>
      <c r="K953" s="19">
        <f>H953+I953+J953</f>
        <v/>
      </c>
      <c r="L953" s="19">
        <f>K953-G953</f>
        <v/>
      </c>
      <c r="M953" s="20">
        <f>L953*E953</f>
        <v/>
      </c>
      <c r="N953" s="20" t="n">
        <v>50</v>
      </c>
      <c r="O953" s="20" t="n"/>
      <c r="P953" s="20">
        <f>O953-N953</f>
        <v/>
      </c>
      <c r="Q953" s="20">
        <f>P953*E953</f>
        <v/>
      </c>
      <c r="R953" s="20" t="n"/>
    </row>
    <row r="954" ht="20" customHeight="1" s="1">
      <c r="A954" s="21" t="inlineStr">
        <is>
          <t>20799</t>
        </is>
      </c>
      <c r="B954" s="22" t="inlineStr">
        <is>
          <t>Morfose</t>
        </is>
      </c>
      <c r="C954" s="21" t="inlineStr">
        <is>
          <t>8681701011780</t>
        </is>
      </c>
      <c r="D954" s="22" t="inlineStr">
        <is>
          <t>Morfose Quru Sampun Milk Therapy 200ml</t>
        </is>
      </c>
      <c r="E954" s="23" t="n">
        <v>6.1</v>
      </c>
      <c r="F954" s="23" t="n">
        <v>12</v>
      </c>
      <c r="G954" s="23" t="n">
        <v>171</v>
      </c>
      <c r="H954" s="23" t="n"/>
      <c r="I954" s="23" t="n"/>
      <c r="J954" s="23" t="n"/>
      <c r="K954" s="19">
        <f>H954+I954+J954</f>
        <v/>
      </c>
      <c r="L954" s="19">
        <f>K954-G954</f>
        <v/>
      </c>
      <c r="M954" s="20">
        <f>L954*E954</f>
        <v/>
      </c>
      <c r="N954" s="20" t="n">
        <v>50</v>
      </c>
      <c r="O954" s="20" t="n"/>
      <c r="P954" s="20">
        <f>O954-N954</f>
        <v/>
      </c>
      <c r="Q954" s="20">
        <f>P954*E954</f>
        <v/>
      </c>
      <c r="R954" s="20" t="n"/>
    </row>
    <row r="955" ht="20" customHeight="1" s="1">
      <c r="A955" s="16" t="inlineStr">
        <is>
          <t>20875</t>
        </is>
      </c>
      <c r="B955" s="17" t="inlineStr">
        <is>
          <t>Morfose</t>
        </is>
      </c>
      <c r="C955" s="16" t="inlineStr">
        <is>
          <t>8681701012381</t>
        </is>
      </c>
      <c r="D955" s="17" t="inlineStr">
        <is>
          <t>Morfose Sac Maskasi Milk Therapy 25ml</t>
        </is>
      </c>
      <c r="E955" s="18" t="n">
        <v>1.1</v>
      </c>
      <c r="F955" s="18" t="n">
        <v>144</v>
      </c>
      <c r="G955" s="18" t="n">
        <v>358</v>
      </c>
      <c r="H955" s="18" t="n"/>
      <c r="I955" s="18" t="n"/>
      <c r="J955" s="18" t="n"/>
      <c r="K955" s="19">
        <f>H955+I955+J955</f>
        <v/>
      </c>
      <c r="L955" s="19">
        <f>K955-G955</f>
        <v/>
      </c>
      <c r="M955" s="20">
        <f>L955*E955</f>
        <v/>
      </c>
      <c r="N955" s="20" t="n">
        <v>50</v>
      </c>
      <c r="O955" s="20" t="n"/>
      <c r="P955" s="20">
        <f>O955-N955</f>
        <v/>
      </c>
      <c r="Q955" s="20">
        <f>P955*E955</f>
        <v/>
      </c>
      <c r="R955" s="20" t="n"/>
    </row>
    <row r="956" ht="20" customHeight="1" s="1">
      <c r="A956" s="21" t="inlineStr">
        <is>
          <t>20876</t>
        </is>
      </c>
      <c r="B956" s="22" t="inlineStr">
        <is>
          <t>Morfose</t>
        </is>
      </c>
      <c r="C956" s="21" t="inlineStr">
        <is>
          <t>8681701012398</t>
        </is>
      </c>
      <c r="D956" s="22" t="inlineStr">
        <is>
          <t>Morfose Sac Maskasi Keratin 25ml</t>
        </is>
      </c>
      <c r="E956" s="23" t="n">
        <v>1.1</v>
      </c>
      <c r="F956" s="23" t="n">
        <v>144</v>
      </c>
      <c r="G956" s="23" t="n">
        <v>238</v>
      </c>
      <c r="H956" s="23" t="n"/>
      <c r="I956" s="23" t="n"/>
      <c r="J956" s="23" t="n"/>
      <c r="K956" s="19">
        <f>H956+I956+J956</f>
        <v/>
      </c>
      <c r="L956" s="19">
        <f>K956-G956</f>
        <v/>
      </c>
      <c r="M956" s="20">
        <f>L956*E956</f>
        <v/>
      </c>
      <c r="N956" s="20" t="n">
        <v>50</v>
      </c>
      <c r="O956" s="20" t="n"/>
      <c r="P956" s="20">
        <f>O956-N956</f>
        <v/>
      </c>
      <c r="Q956" s="20">
        <f>P956*E956</f>
        <v/>
      </c>
      <c r="R956" s="20" t="n"/>
    </row>
    <row r="957" ht="20" customHeight="1" s="1">
      <c r="A957" s="16" t="inlineStr">
        <is>
          <t>22183</t>
        </is>
      </c>
      <c r="B957" s="17" t="inlineStr">
        <is>
          <t>Morfose</t>
        </is>
      </c>
      <c r="C957" s="16" t="inlineStr">
        <is>
          <t>8681701015375</t>
        </is>
      </c>
      <c r="D957" s="17" t="inlineStr">
        <is>
          <t>Morfose Sac Maskasi Kolajen 25ml</t>
        </is>
      </c>
      <c r="E957" s="18" t="n">
        <v>1.1</v>
      </c>
      <c r="F957" s="18" t="n">
        <v>144</v>
      </c>
      <c r="G957" s="18" t="n">
        <v>140</v>
      </c>
      <c r="H957" s="18" t="n"/>
      <c r="I957" s="18" t="n"/>
      <c r="J957" s="18" t="n"/>
      <c r="K957" s="19">
        <f>H957+I957+J957</f>
        <v/>
      </c>
      <c r="L957" s="19">
        <f>K957-G957</f>
        <v/>
      </c>
      <c r="M957" s="20">
        <f>L957*E957</f>
        <v/>
      </c>
      <c r="N957" s="20" t="n">
        <v>50</v>
      </c>
      <c r="O957" s="20" t="n"/>
      <c r="P957" s="20">
        <f>O957-N957</f>
        <v/>
      </c>
      <c r="Q957" s="20">
        <f>P957*E957</f>
        <v/>
      </c>
      <c r="R957" s="20" t="n"/>
    </row>
    <row r="958" ht="20" customHeight="1" s="1">
      <c r="A958" s="21" t="inlineStr">
        <is>
          <t>21196</t>
        </is>
      </c>
      <c r="B958" s="22" t="inlineStr">
        <is>
          <t>Morfose</t>
        </is>
      </c>
      <c r="C958" s="21" t="inlineStr">
        <is>
          <t>8690841017323</t>
        </is>
      </c>
      <c r="D958" s="22" t="inlineStr">
        <is>
          <t>Bebak Eye Care Serum 30ml</t>
        </is>
      </c>
      <c r="E958" s="23" t="n">
        <v>14.6</v>
      </c>
      <c r="F958" s="23" t="n">
        <v>24</v>
      </c>
      <c r="G958" s="23" t="n">
        <v>19</v>
      </c>
      <c r="H958" s="23" t="n"/>
      <c r="I958" s="23" t="n"/>
      <c r="J958" s="23" t="n"/>
      <c r="K958" s="19" t="n"/>
      <c r="L958" s="19" t="n"/>
      <c r="M958" s="20" t="n"/>
      <c r="N958" s="20" t="n">
        <v>50</v>
      </c>
      <c r="O958" s="20" t="n"/>
      <c r="P958" s="20">
        <f>O958-N958</f>
        <v/>
      </c>
      <c r="Q958" s="20">
        <f>P958*E958</f>
        <v/>
      </c>
      <c r="R958" s="20" t="n"/>
    </row>
    <row r="959" ht="20" customHeight="1" s="1">
      <c r="A959" s="16" t="inlineStr">
        <is>
          <t>21195</t>
        </is>
      </c>
      <c r="B959" s="17" t="inlineStr">
        <is>
          <t>Morfose</t>
        </is>
      </c>
      <c r="C959" s="16" t="inlineStr">
        <is>
          <t>8690841017316</t>
        </is>
      </c>
      <c r="D959" s="17" t="inlineStr">
        <is>
          <t>Bebak Intensive Hudration Serum 30ml</t>
        </is>
      </c>
      <c r="E959" s="18" t="n">
        <v>14.6</v>
      </c>
      <c r="F959" s="18" t="n">
        <v>24</v>
      </c>
      <c r="G959" s="18" t="n">
        <v>18</v>
      </c>
      <c r="H959" s="18" t="n"/>
      <c r="I959" s="18" t="n"/>
      <c r="J959" s="18" t="n"/>
      <c r="K959" s="19">
        <f>H959+I959+J959</f>
        <v/>
      </c>
      <c r="L959" s="19">
        <f>K959-G959</f>
        <v/>
      </c>
      <c r="M959" s="20">
        <f>L959*E959</f>
        <v/>
      </c>
      <c r="N959" s="20" t="n">
        <v>50</v>
      </c>
      <c r="O959" s="20" t="n"/>
      <c r="P959" s="20">
        <f>O959-N959</f>
        <v/>
      </c>
      <c r="Q959" s="20">
        <f>P959*E959</f>
        <v/>
      </c>
      <c r="R959" s="20" t="n"/>
    </row>
    <row r="960" ht="20" customHeight="1" s="1">
      <c r="A960" s="21" t="inlineStr">
        <is>
          <t>21198</t>
        </is>
      </c>
      <c r="B960" s="22" t="inlineStr">
        <is>
          <t>Morfose</t>
        </is>
      </c>
      <c r="C960" s="21" t="inlineStr">
        <is>
          <t>8690841017293</t>
        </is>
      </c>
      <c r="D960" s="22" t="inlineStr">
        <is>
          <t>Bebak Pore Tightening Balancing Serum 30ml</t>
        </is>
      </c>
      <c r="E960" s="23" t="n">
        <v>14.6</v>
      </c>
      <c r="F960" s="23" t="n">
        <v>24</v>
      </c>
      <c r="G960" s="23" t="n">
        <v>19</v>
      </c>
      <c r="H960" s="23" t="n"/>
      <c r="I960" s="23" t="n"/>
      <c r="J960" s="23" t="n"/>
      <c r="K960" s="19" t="n"/>
      <c r="L960" s="19" t="n"/>
      <c r="M960" s="20" t="n"/>
      <c r="N960" s="20" t="n">
        <v>50</v>
      </c>
      <c r="O960" s="20" t="n"/>
      <c r="P960" s="20">
        <f>O960-N960</f>
        <v/>
      </c>
      <c r="Q960" s="20">
        <f>P960*E960</f>
        <v/>
      </c>
      <c r="R960" s="20" t="n"/>
    </row>
    <row r="961" ht="20" customHeight="1" s="1">
      <c r="A961" s="16" t="inlineStr">
        <is>
          <t>21193</t>
        </is>
      </c>
      <c r="B961" s="17" t="inlineStr">
        <is>
          <t>Morfose</t>
        </is>
      </c>
      <c r="C961" s="16" t="inlineStr">
        <is>
          <t>8690841017286</t>
        </is>
      </c>
      <c r="D961" s="17" t="inlineStr">
        <is>
          <t>Bebak Brightening Vitamin C Serum 30ml</t>
        </is>
      </c>
      <c r="E961" s="18" t="n">
        <v>26.1</v>
      </c>
      <c r="F961" s="18" t="n">
        <v>24</v>
      </c>
      <c r="G961" s="18" t="n">
        <v>17</v>
      </c>
      <c r="H961" s="18" t="n"/>
      <c r="I961" s="18" t="n"/>
      <c r="J961" s="18" t="n"/>
      <c r="K961" s="19">
        <f>H961+I961+J961</f>
        <v/>
      </c>
      <c r="L961" s="19">
        <f>K961-G961</f>
        <v/>
      </c>
      <c r="M961" s="20">
        <f>L961*E961</f>
        <v/>
      </c>
      <c r="N961" s="20" t="n">
        <v>50</v>
      </c>
      <c r="O961" s="20" t="n"/>
      <c r="P961" s="20">
        <f>O961-N961</f>
        <v/>
      </c>
      <c r="Q961" s="20">
        <f>P961*E961</f>
        <v/>
      </c>
      <c r="R961" s="20" t="n"/>
    </row>
    <row r="962" ht="20" customHeight="1" s="1">
      <c r="A962" s="21" t="inlineStr">
        <is>
          <t>21194</t>
        </is>
      </c>
      <c r="B962" s="22" t="inlineStr">
        <is>
          <t>Morfose</t>
        </is>
      </c>
      <c r="C962" s="21" t="inlineStr">
        <is>
          <t>8690841017309</t>
        </is>
      </c>
      <c r="D962" s="22" t="inlineStr">
        <is>
          <t>Bebak Intensive Btx Serum 30ml</t>
        </is>
      </c>
      <c r="E962" s="23" t="n">
        <v>16.5</v>
      </c>
      <c r="F962" s="23" t="n">
        <v>24</v>
      </c>
      <c r="G962" s="23" t="n">
        <v>22</v>
      </c>
      <c r="H962" s="23" t="n"/>
      <c r="I962" s="23" t="n"/>
      <c r="J962" s="23" t="n"/>
      <c r="K962" s="19">
        <f>H962+I962+J962</f>
        <v/>
      </c>
      <c r="L962" s="19">
        <f>K962-G962</f>
        <v/>
      </c>
      <c r="M962" s="20">
        <f>L962*E962</f>
        <v/>
      </c>
      <c r="N962" s="20" t="n">
        <v>50</v>
      </c>
      <c r="O962" s="20" t="n"/>
      <c r="P962" s="20">
        <f>O962-N962</f>
        <v/>
      </c>
      <c r="Q962" s="20">
        <f>P962*E962</f>
        <v/>
      </c>
      <c r="R962" s="20" t="n"/>
    </row>
    <row r="963" ht="20" customHeight="1" s="1">
      <c r="A963" s="16" t="inlineStr">
        <is>
          <t>21197</t>
        </is>
      </c>
      <c r="B963" s="17" t="inlineStr">
        <is>
          <t>Morfose</t>
        </is>
      </c>
      <c r="C963" s="16" t="inlineStr">
        <is>
          <t>8690841017538</t>
        </is>
      </c>
      <c r="D963" s="17" t="inlineStr">
        <is>
          <t>Bebak Antiblemish Lightening Serum 30ml</t>
        </is>
      </c>
      <c r="E963" s="18" t="n">
        <v>14.6</v>
      </c>
      <c r="F963" s="18" t="n">
        <v>24</v>
      </c>
      <c r="G963" s="18" t="n">
        <v>20</v>
      </c>
      <c r="H963" s="18" t="n"/>
      <c r="I963" s="18" t="n"/>
      <c r="J963" s="18" t="n"/>
      <c r="K963" s="19">
        <f>H963+I963+J963</f>
        <v/>
      </c>
      <c r="L963" s="19">
        <f>K963-G963</f>
        <v/>
      </c>
      <c r="M963" s="20">
        <f>L963*E963</f>
        <v/>
      </c>
      <c r="N963" s="20" t="n">
        <v>50</v>
      </c>
      <c r="O963" s="20" t="n"/>
      <c r="P963" s="20">
        <f>O963-N963</f>
        <v/>
      </c>
      <c r="Q963" s="20">
        <f>P963*E963</f>
        <v/>
      </c>
      <c r="R963" s="20" t="n"/>
    </row>
    <row r="964" ht="20" customHeight="1" s="1">
      <c r="A964" s="21" t="inlineStr">
        <is>
          <t>21192</t>
        </is>
      </c>
      <c r="B964" s="22" t="inlineStr">
        <is>
          <t>Morfose</t>
        </is>
      </c>
      <c r="C964" s="21" t="inlineStr">
        <is>
          <t>8690841017279</t>
        </is>
      </c>
      <c r="D964" s="22" t="inlineStr">
        <is>
          <t>Bebak Exfoliating Red Serum 30ml</t>
        </is>
      </c>
      <c r="E964" s="23" t="n">
        <v>14.6</v>
      </c>
      <c r="F964" s="23" t="n">
        <v>24</v>
      </c>
      <c r="G964" s="23" t="n">
        <v>22</v>
      </c>
      <c r="H964" s="23" t="n"/>
      <c r="I964" s="23" t="n"/>
      <c r="J964" s="23" t="n"/>
      <c r="K964" s="19">
        <f>H964+I964+J964</f>
        <v/>
      </c>
      <c r="L964" s="19">
        <f>K964-G964</f>
        <v/>
      </c>
      <c r="M964" s="20">
        <f>L964*E964</f>
        <v/>
      </c>
      <c r="N964" s="20" t="n">
        <v>50</v>
      </c>
      <c r="O964" s="20" t="n"/>
      <c r="P964" s="20">
        <f>O964-N964</f>
        <v/>
      </c>
      <c r="Q964" s="20">
        <f>P964*E964</f>
        <v/>
      </c>
      <c r="R964" s="20" t="n"/>
    </row>
    <row r="965" ht="20" customHeight="1" s="1">
      <c r="A965" s="16" t="inlineStr">
        <is>
          <t>20679</t>
        </is>
      </c>
      <c r="B965" s="17" t="inlineStr">
        <is>
          <t>Morfose</t>
        </is>
      </c>
      <c r="C965" s="16" t="inlineStr">
        <is>
          <t>8690841010485</t>
        </is>
      </c>
      <c r="D965" s="17" t="inlineStr">
        <is>
          <t>Bebak Sun Care Milk with Carrot extrakt 215ml</t>
        </is>
      </c>
      <c r="E965" s="18" t="n">
        <v>10.5</v>
      </c>
      <c r="F965" s="18" t="n">
        <v>12</v>
      </c>
      <c r="G965" s="18" t="n">
        <v>0</v>
      </c>
      <c r="H965" s="18" t="n"/>
      <c r="I965" s="18" t="n"/>
      <c r="J965" s="18" t="n"/>
      <c r="K965" s="19">
        <f>H965+I965+J965</f>
        <v/>
      </c>
      <c r="L965" s="19">
        <f>K965-G965</f>
        <v/>
      </c>
      <c r="M965" s="20">
        <f>L965*E965</f>
        <v/>
      </c>
      <c r="N965" s="20" t="n">
        <v>50</v>
      </c>
      <c r="O965" s="20" t="n"/>
      <c r="P965" s="20">
        <f>O965-N965</f>
        <v/>
      </c>
      <c r="Q965" s="20">
        <f>P965*E965</f>
        <v/>
      </c>
      <c r="R965" s="20" t="n"/>
    </row>
    <row r="966" ht="20" customHeight="1" s="1">
      <c r="A966" s="21" t="inlineStr">
        <is>
          <t>20680</t>
        </is>
      </c>
      <c r="B966" s="22" t="inlineStr">
        <is>
          <t>Morfose</t>
        </is>
      </c>
      <c r="C966" s="21" t="inlineStr">
        <is>
          <t>8690841010478</t>
        </is>
      </c>
      <c r="D966" s="22" t="inlineStr">
        <is>
          <t>Bebak Sun Care Milk with Cocoa extrakt 215ml</t>
        </is>
      </c>
      <c r="E966" s="23" t="n">
        <v>10.5</v>
      </c>
      <c r="F966" s="23" t="n">
        <v>12</v>
      </c>
      <c r="G966" s="23" t="n">
        <v>5</v>
      </c>
      <c r="H966" s="23" t="n"/>
      <c r="I966" s="23" t="n"/>
      <c r="J966" s="23" t="n"/>
      <c r="K966" s="19" t="n"/>
      <c r="L966" s="19" t="n"/>
      <c r="M966" s="20" t="n"/>
      <c r="N966" s="20" t="n">
        <v>50</v>
      </c>
      <c r="O966" s="20" t="n"/>
      <c r="P966" s="20">
        <f>O966-N966</f>
        <v/>
      </c>
      <c r="Q966" s="20">
        <f>P966*E966</f>
        <v/>
      </c>
      <c r="R966" s="20" t="n"/>
    </row>
    <row r="967" ht="20" customHeight="1" s="1">
      <c r="A967" s="16" t="inlineStr">
        <is>
          <t>20818</t>
        </is>
      </c>
      <c r="B967" s="17" t="inlineStr">
        <is>
          <t>Morfose</t>
        </is>
      </c>
      <c r="C967" s="16" t="inlineStr">
        <is>
          <t>8681701009176</t>
        </is>
      </c>
      <c r="D967" s="17" t="inlineStr">
        <is>
          <t>Bebak Bronzlastirici Gunes Sutu 215ml</t>
        </is>
      </c>
      <c r="E967" s="18" t="n">
        <v>9.699999999999999</v>
      </c>
      <c r="F967" s="18" t="n">
        <v>12</v>
      </c>
      <c r="G967" s="18" t="n">
        <v>33</v>
      </c>
      <c r="H967" s="18" t="n"/>
      <c r="I967" s="18" t="n"/>
      <c r="J967" s="18" t="n"/>
      <c r="K967" s="19">
        <f>H967+I967+J967</f>
        <v/>
      </c>
      <c r="L967" s="19">
        <f>K967-G967</f>
        <v/>
      </c>
      <c r="M967" s="20">
        <f>L967*E967</f>
        <v/>
      </c>
      <c r="N967" s="20" t="n">
        <v>50</v>
      </c>
      <c r="O967" s="20" t="n"/>
      <c r="P967" s="20">
        <f>O967-N967</f>
        <v/>
      </c>
      <c r="Q967" s="20">
        <f>P967*E967</f>
        <v/>
      </c>
      <c r="R967" s="20" t="n"/>
    </row>
    <row r="968" ht="20" customHeight="1" s="1">
      <c r="A968" s="21" t="inlineStr">
        <is>
          <t>20684</t>
        </is>
      </c>
      <c r="B968" s="22" t="inlineStr">
        <is>
          <t>Morfose</t>
        </is>
      </c>
      <c r="C968" s="21" t="inlineStr">
        <is>
          <t>8690841017941</t>
        </is>
      </c>
      <c r="D968" s="22" t="inlineStr">
        <is>
          <t>Bebak Bronzing Oil Spray 0 SPF 150ml</t>
        </is>
      </c>
      <c r="E968" s="23" t="n">
        <v>9.9</v>
      </c>
      <c r="F968" s="23" t="n">
        <v>24</v>
      </c>
      <c r="G968" s="23" t="n">
        <v>0</v>
      </c>
      <c r="H968" s="23" t="n"/>
      <c r="I968" s="23" t="n"/>
      <c r="J968" s="23" t="n"/>
      <c r="K968" s="19">
        <f>H968+I968+J968</f>
        <v/>
      </c>
      <c r="L968" s="19">
        <f>K968-G968</f>
        <v/>
      </c>
      <c r="M968" s="20">
        <f>L968*E968</f>
        <v/>
      </c>
      <c r="N968" s="20" t="n">
        <v>50</v>
      </c>
      <c r="O968" s="20" t="n"/>
      <c r="P968" s="20">
        <f>O968-N968</f>
        <v/>
      </c>
      <c r="Q968" s="20">
        <f>P968*E968</f>
        <v/>
      </c>
      <c r="R968" s="20" t="n"/>
    </row>
    <row r="969" ht="20" customHeight="1" s="1">
      <c r="A969" s="16" t="inlineStr">
        <is>
          <t>20685</t>
        </is>
      </c>
      <c r="B969" s="17" t="inlineStr">
        <is>
          <t>Morfose</t>
        </is>
      </c>
      <c r="C969" s="16" t="inlineStr">
        <is>
          <t>8690841017897</t>
        </is>
      </c>
      <c r="D969" s="17" t="inlineStr">
        <is>
          <t>Bebak Bronzing Oil Spray 20 SPF 150ml</t>
        </is>
      </c>
      <c r="E969" s="18" t="n">
        <v>16.5</v>
      </c>
      <c r="F969" s="18" t="n">
        <v>24</v>
      </c>
      <c r="G969" s="18" t="n">
        <v>1</v>
      </c>
      <c r="H969" s="18" t="n"/>
      <c r="I969" s="18" t="n"/>
      <c r="J969" s="18" t="n"/>
      <c r="K969" s="19" t="n"/>
      <c r="L969" s="19" t="n"/>
      <c r="M969" s="20" t="n"/>
      <c r="N969" s="20" t="n">
        <v>50</v>
      </c>
      <c r="O969" s="20" t="n"/>
      <c r="P969" s="20">
        <f>O969-N969</f>
        <v/>
      </c>
      <c r="Q969" s="20">
        <f>P969*E969</f>
        <v/>
      </c>
      <c r="R969" s="20" t="n"/>
    </row>
    <row r="970" ht="20" customHeight="1" s="1">
      <c r="A970" s="21" t="inlineStr">
        <is>
          <t>20682</t>
        </is>
      </c>
      <c r="B970" s="22" t="inlineStr">
        <is>
          <t>Morfose</t>
        </is>
      </c>
      <c r="C970" s="21" t="inlineStr">
        <is>
          <t>8690841010751</t>
        </is>
      </c>
      <c r="D970" s="22" t="inlineStr">
        <is>
          <t>Bebak Bronzing Sun Cream Carrot 100ml</t>
        </is>
      </c>
      <c r="E970" s="23" t="n">
        <v>8.800000000000001</v>
      </c>
      <c r="F970" s="23" t="n">
        <v>24</v>
      </c>
      <c r="G970" s="23" t="n">
        <v>0</v>
      </c>
      <c r="H970" s="23" t="n"/>
      <c r="I970" s="23" t="n"/>
      <c r="J970" s="23" t="n"/>
      <c r="K970" s="19">
        <f>H970+I970+J970</f>
        <v/>
      </c>
      <c r="L970" s="19">
        <f>K970-G970</f>
        <v/>
      </c>
      <c r="M970" s="20">
        <f>L970*E970</f>
        <v/>
      </c>
      <c r="N970" s="20" t="n">
        <v>50</v>
      </c>
      <c r="O970" s="20" t="n"/>
      <c r="P970" s="20">
        <f>O970-N970</f>
        <v/>
      </c>
      <c r="Q970" s="20">
        <f>P970*E970</f>
        <v/>
      </c>
      <c r="R970" s="20" t="n"/>
    </row>
    <row r="971" ht="20" customHeight="1" s="1">
      <c r="A971" s="16" t="inlineStr">
        <is>
          <t>20683</t>
        </is>
      </c>
      <c r="B971" s="17" t="inlineStr">
        <is>
          <t>Morfose</t>
        </is>
      </c>
      <c r="C971" s="16" t="inlineStr">
        <is>
          <t>8690841010768</t>
        </is>
      </c>
      <c r="D971" s="17" t="inlineStr">
        <is>
          <t>Bebak Bronzing Sun Cream Cocoa 100ml</t>
        </is>
      </c>
      <c r="E971" s="18" t="n">
        <v>8.800000000000001</v>
      </c>
      <c r="F971" s="18" t="n">
        <v>24</v>
      </c>
      <c r="G971" s="18" t="n">
        <v>4</v>
      </c>
      <c r="H971" s="18" t="n"/>
      <c r="I971" s="18" t="n"/>
      <c r="J971" s="18" t="n"/>
      <c r="K971" s="19" t="n"/>
      <c r="L971" s="19" t="n"/>
      <c r="M971" s="20" t="n"/>
      <c r="N971" s="20" t="n">
        <v>50</v>
      </c>
      <c r="O971" s="20" t="n"/>
      <c r="P971" s="20">
        <f>O971-N971</f>
        <v/>
      </c>
      <c r="Q971" s="20">
        <f>P971*E971</f>
        <v/>
      </c>
      <c r="R971" s="20" t="n"/>
    </row>
    <row r="972" ht="20" customHeight="1" s="1">
      <c r="A972" s="21" t="inlineStr">
        <is>
          <t>20819</t>
        </is>
      </c>
      <c r="B972" s="22" t="inlineStr">
        <is>
          <t>Morfose</t>
        </is>
      </c>
      <c r="C972" s="21" t="inlineStr">
        <is>
          <t>8681701009183</t>
        </is>
      </c>
      <c r="D972" s="22" t="inlineStr">
        <is>
          <t>Bebak Bronzlastirici Gunes Kremi 100ml</t>
        </is>
      </c>
      <c r="E972" s="23" t="n">
        <v>8.199999999999999</v>
      </c>
      <c r="F972" s="23" t="n">
        <v>24</v>
      </c>
      <c r="G972" s="23" t="n">
        <v>32</v>
      </c>
      <c r="H972" s="23" t="n"/>
      <c r="I972" s="23" t="n"/>
      <c r="J972" s="23" t="n"/>
      <c r="K972" s="19">
        <f>H972+I972+J972</f>
        <v/>
      </c>
      <c r="L972" s="19">
        <f>K972-G972</f>
        <v/>
      </c>
      <c r="M972" s="20">
        <f>L972*E972</f>
        <v/>
      </c>
      <c r="N972" s="20" t="n">
        <v>50</v>
      </c>
      <c r="O972" s="20" t="n"/>
      <c r="P972" s="20">
        <f>O972-N972</f>
        <v/>
      </c>
      <c r="Q972" s="20">
        <f>P972*E972</f>
        <v/>
      </c>
      <c r="R972" s="20" t="n"/>
    </row>
    <row r="973" ht="20" customHeight="1" s="1">
      <c r="A973" s="16" t="inlineStr">
        <is>
          <t>20686</t>
        </is>
      </c>
      <c r="B973" s="17" t="inlineStr">
        <is>
          <t>Morfose</t>
        </is>
      </c>
      <c r="C973" s="16" t="inlineStr">
        <is>
          <t>8690841013424</t>
        </is>
      </c>
      <c r="D973" s="17" t="inlineStr">
        <is>
          <t>Bebak Soft Nemledirici  kr. Aloe Vera 300ml</t>
        </is>
      </c>
      <c r="E973" s="18" t="n">
        <v>6.1</v>
      </c>
      <c r="F973" s="18" t="n">
        <v>12</v>
      </c>
      <c r="G973" s="18" t="n">
        <v>6</v>
      </c>
      <c r="H973" s="18" t="n"/>
      <c r="I973" s="18" t="n"/>
      <c r="J973" s="18" t="n"/>
      <c r="K973" s="19" t="n"/>
      <c r="L973" s="19" t="n"/>
      <c r="M973" s="20" t="n"/>
      <c r="N973" s="20" t="n">
        <v>50</v>
      </c>
      <c r="O973" s="20" t="n"/>
      <c r="P973" s="20">
        <f>O973-N973</f>
        <v/>
      </c>
      <c r="Q973" s="20">
        <f>P973*E973</f>
        <v/>
      </c>
      <c r="R973" s="20" t="n"/>
    </row>
    <row r="974" ht="20" customHeight="1" s="1">
      <c r="A974" s="21" t="inlineStr">
        <is>
          <t>20687</t>
        </is>
      </c>
      <c r="B974" s="22" t="inlineStr">
        <is>
          <t>Morfose</t>
        </is>
      </c>
      <c r="C974" s="21" t="inlineStr">
        <is>
          <t>8690841013394</t>
        </is>
      </c>
      <c r="D974" s="22" t="inlineStr">
        <is>
          <t>Bebak Soft Nemledirici  kr. Cay Tikani yagi 300ml</t>
        </is>
      </c>
      <c r="E974" s="23" t="n">
        <v>6.1</v>
      </c>
      <c r="F974" s="23" t="n">
        <v>12</v>
      </c>
      <c r="G974" s="23" t="n">
        <v>9</v>
      </c>
      <c r="H974" s="23" t="n"/>
      <c r="I974" s="23" t="n"/>
      <c r="J974" s="23" t="n"/>
      <c r="K974" s="19">
        <f>H974+I974+J974</f>
        <v/>
      </c>
      <c r="L974" s="19">
        <f>K974-G974</f>
        <v/>
      </c>
      <c r="M974" s="20">
        <f>L974*E974</f>
        <v/>
      </c>
      <c r="N974" s="20" t="n">
        <v>50</v>
      </c>
      <c r="O974" s="20" t="n"/>
      <c r="P974" s="20">
        <f>O974-N974</f>
        <v/>
      </c>
      <c r="Q974" s="20">
        <f>P974*E974</f>
        <v/>
      </c>
      <c r="R974" s="20" t="n"/>
    </row>
    <row r="975" ht="20" customHeight="1" s="1">
      <c r="A975" s="16" t="inlineStr">
        <is>
          <t>20688</t>
        </is>
      </c>
      <c r="B975" s="17" t="inlineStr">
        <is>
          <t>Morfose</t>
        </is>
      </c>
      <c r="C975" s="16" t="inlineStr">
        <is>
          <t>8690841013417</t>
        </is>
      </c>
      <c r="D975" s="17" t="inlineStr">
        <is>
          <t>Bebak Soft Nemledirici  kr. Argan yagi 300ml</t>
        </is>
      </c>
      <c r="E975" s="18" t="n">
        <v>6.1</v>
      </c>
      <c r="F975" s="18" t="n">
        <v>12</v>
      </c>
      <c r="G975" s="18" t="n">
        <v>1</v>
      </c>
      <c r="H975" s="18" t="n"/>
      <c r="I975" s="18" t="n"/>
      <c r="J975" s="18" t="n"/>
      <c r="K975" s="19" t="n"/>
      <c r="L975" s="19" t="n"/>
      <c r="M975" s="20" t="n"/>
      <c r="N975" s="20" t="n">
        <v>50</v>
      </c>
      <c r="O975" s="20" t="n"/>
      <c r="P975" s="20">
        <f>O975-N975</f>
        <v/>
      </c>
      <c r="Q975" s="20">
        <f>P975*E975</f>
        <v/>
      </c>
      <c r="R975" s="20" t="n"/>
    </row>
    <row r="976" ht="20" customHeight="1" s="1">
      <c r="A976" s="21" t="inlineStr">
        <is>
          <t>20689</t>
        </is>
      </c>
      <c r="B976" s="22" t="inlineStr">
        <is>
          <t>Morfose</t>
        </is>
      </c>
      <c r="C976" s="21" t="inlineStr">
        <is>
          <t>8690841014957</t>
        </is>
      </c>
      <c r="D976" s="22" t="inlineStr">
        <is>
          <t>Bebak Soft Nemledirici  kr. Cocos yagi 300ml</t>
        </is>
      </c>
      <c r="E976" s="23" t="n">
        <v>6.1</v>
      </c>
      <c r="F976" s="23" t="n">
        <v>12</v>
      </c>
      <c r="G976" s="23" t="n">
        <v>0</v>
      </c>
      <c r="H976" s="23" t="n"/>
      <c r="I976" s="23" t="n"/>
      <c r="J976" s="23" t="n"/>
      <c r="K976" s="19">
        <f>H976+I976+J976</f>
        <v/>
      </c>
      <c r="L976" s="19">
        <f>K976-G976</f>
        <v/>
      </c>
      <c r="M976" s="20">
        <f>L976*E976</f>
        <v/>
      </c>
      <c r="N976" s="20" t="n">
        <v>50</v>
      </c>
      <c r="O976" s="20" t="n"/>
      <c r="P976" s="20">
        <f>O976-N976</f>
        <v/>
      </c>
      <c r="Q976" s="20">
        <f>P976*E976</f>
        <v/>
      </c>
      <c r="R976" s="20" t="n"/>
    </row>
    <row r="977" ht="20" customHeight="1" s="1">
      <c r="A977" s="16" t="inlineStr">
        <is>
          <t>20696</t>
        </is>
      </c>
      <c r="B977" s="17" t="inlineStr">
        <is>
          <t>Morfose</t>
        </is>
      </c>
      <c r="C977" s="16" t="inlineStr">
        <is>
          <t>8690841020064</t>
        </is>
      </c>
      <c r="D977" s="17" t="inlineStr">
        <is>
          <t>Bebak Aci Badem Sudu Uz Temizleyici 215ml</t>
        </is>
      </c>
      <c r="E977" s="18" t="n">
        <v>8.800000000000001</v>
      </c>
      <c r="F977" s="18" t="n">
        <v>12</v>
      </c>
      <c r="G977" s="18" t="n">
        <v>24</v>
      </c>
      <c r="H977" s="18" t="n"/>
      <c r="I977" s="18" t="n"/>
      <c r="J977" s="18" t="n"/>
      <c r="K977" s="19" t="n"/>
      <c r="L977" s="19" t="n"/>
      <c r="M977" s="20" t="n"/>
      <c r="N977" s="20" t="n">
        <v>50</v>
      </c>
      <c r="O977" s="20" t="n"/>
      <c r="P977" s="20">
        <f>O977-N977</f>
        <v/>
      </c>
      <c r="Q977" s="20">
        <f>P977*E977</f>
        <v/>
      </c>
      <c r="R977" s="20" t="n"/>
    </row>
    <row r="978" ht="20" customHeight="1" s="1">
      <c r="A978" s="21" t="inlineStr">
        <is>
          <t>20695</t>
        </is>
      </c>
      <c r="B978" s="22" t="inlineStr">
        <is>
          <t>Morfose</t>
        </is>
      </c>
      <c r="C978" s="21" t="inlineStr">
        <is>
          <t>8690841020057</t>
        </is>
      </c>
      <c r="D978" s="22" t="inlineStr">
        <is>
          <t>Bebak Aci Badem Sudu Uz Temizleyici 120ml</t>
        </is>
      </c>
      <c r="E978" s="23" t="n">
        <v>6.6</v>
      </c>
      <c r="F978" s="23" t="n">
        <v>12</v>
      </c>
      <c r="G978" s="23" t="n">
        <v>24</v>
      </c>
      <c r="H978" s="23" t="n"/>
      <c r="I978" s="23" t="n"/>
      <c r="J978" s="23" t="n"/>
      <c r="K978" s="19" t="n"/>
      <c r="L978" s="19" t="n"/>
      <c r="M978" s="20" t="n"/>
      <c r="N978" s="20" t="n">
        <v>50</v>
      </c>
      <c r="O978" s="20" t="n"/>
      <c r="P978" s="20">
        <f>O978-N978</f>
        <v/>
      </c>
      <c r="Q978" s="20">
        <f>P978*E978</f>
        <v/>
      </c>
      <c r="R978" s="20" t="n"/>
    </row>
    <row r="979" ht="20" customHeight="1" s="1">
      <c r="A979" s="16" t="inlineStr">
        <is>
          <t>20697</t>
        </is>
      </c>
      <c r="B979" s="17" t="inlineStr">
        <is>
          <t>Morfose</t>
        </is>
      </c>
      <c r="C979" s="16" t="inlineStr">
        <is>
          <t>8690841990039</t>
        </is>
      </c>
      <c r="D979" s="17" t="inlineStr">
        <is>
          <t>Bebak Aci Badem Sudu Nemledirici 175ml</t>
        </is>
      </c>
      <c r="E979" s="18" t="n">
        <v>9.4</v>
      </c>
      <c r="F979" s="18" t="n">
        <v>12</v>
      </c>
      <c r="G979" s="18" t="n">
        <v>34</v>
      </c>
      <c r="H979" s="18" t="n"/>
      <c r="I979" s="18" t="n"/>
      <c r="J979" s="18" t="n"/>
      <c r="K979" s="19">
        <f>H979+I979+J979</f>
        <v/>
      </c>
      <c r="L979" s="19">
        <f>K979-G979</f>
        <v/>
      </c>
      <c r="M979" s="20">
        <f>L979*E979</f>
        <v/>
      </c>
      <c r="N979" s="20" t="n">
        <v>50</v>
      </c>
      <c r="O979" s="20" t="n"/>
      <c r="P979" s="20">
        <f>O979-N979</f>
        <v/>
      </c>
      <c r="Q979" s="20">
        <f>P979*E979</f>
        <v/>
      </c>
      <c r="R979" s="20" t="n"/>
    </row>
    <row r="980" ht="20" customHeight="1" s="1">
      <c r="A980" s="21" t="inlineStr">
        <is>
          <t>20692</t>
        </is>
      </c>
      <c r="B980" s="22" t="inlineStr">
        <is>
          <t>Morfose</t>
        </is>
      </c>
      <c r="C980" s="21" t="inlineStr">
        <is>
          <t>8690841014124</t>
        </is>
      </c>
      <c r="D980" s="22" t="inlineStr">
        <is>
          <t>Bebak Quru Sampun Arginine &amp; Protein 200ml</t>
        </is>
      </c>
      <c r="E980" s="23" t="n">
        <v>7.7</v>
      </c>
      <c r="F980" s="23" t="n">
        <v>12</v>
      </c>
      <c r="G980" s="23" t="n">
        <v>24</v>
      </c>
      <c r="H980" s="23" t="n"/>
      <c r="I980" s="23" t="n"/>
      <c r="J980" s="23" t="n"/>
      <c r="K980" s="19" t="n"/>
      <c r="L980" s="19" t="n"/>
      <c r="M980" s="20" t="n"/>
      <c r="N980" s="20" t="n">
        <v>50</v>
      </c>
      <c r="O980" s="20" t="n"/>
      <c r="P980" s="20">
        <f>O980-N980</f>
        <v/>
      </c>
      <c r="Q980" s="20">
        <f>P980*E980</f>
        <v/>
      </c>
      <c r="R980" s="20" t="n"/>
    </row>
    <row r="981" ht="20" customHeight="1" s="1">
      <c r="A981" s="16" t="inlineStr">
        <is>
          <t>20693</t>
        </is>
      </c>
      <c r="B981" s="17" t="inlineStr">
        <is>
          <t>Morfose</t>
        </is>
      </c>
      <c r="C981" s="16" t="inlineStr">
        <is>
          <t>8690841014155</t>
        </is>
      </c>
      <c r="D981" s="17" t="inlineStr">
        <is>
          <t>Bebak Quru Sampun Silk &amp; Keratin 200ml</t>
        </is>
      </c>
      <c r="E981" s="18" t="n">
        <v>7.7</v>
      </c>
      <c r="F981" s="18" t="n">
        <v>12</v>
      </c>
      <c r="G981" s="18" t="n">
        <v>24</v>
      </c>
      <c r="H981" s="18" t="n"/>
      <c r="I981" s="18" t="n"/>
      <c r="J981" s="18" t="n"/>
      <c r="K981" s="19" t="n"/>
      <c r="L981" s="19" t="n"/>
      <c r="M981" s="20" t="n"/>
      <c r="N981" s="20" t="n">
        <v>50</v>
      </c>
      <c r="O981" s="20" t="n"/>
      <c r="P981" s="20">
        <f>O981-N981</f>
        <v/>
      </c>
      <c r="Q981" s="20">
        <f>P981*E981</f>
        <v/>
      </c>
      <c r="R981" s="20" t="n"/>
    </row>
    <row r="982" ht="20" customHeight="1" s="1">
      <c r="A982" s="21" t="inlineStr">
        <is>
          <t>20699</t>
        </is>
      </c>
      <c r="B982" s="22" t="inlineStr">
        <is>
          <t>Morfose</t>
        </is>
      </c>
      <c r="C982" s="21" t="inlineStr">
        <is>
          <t>8690841010034</t>
        </is>
      </c>
      <c r="D982" s="22" t="inlineStr">
        <is>
          <t>Bebak Aci Badem Kremi  70ml</t>
        </is>
      </c>
      <c r="E982" s="23" t="n">
        <v>7.7</v>
      </c>
      <c r="F982" s="23" t="n">
        <v>96</v>
      </c>
      <c r="G982" s="23" t="n">
        <v>87</v>
      </c>
      <c r="H982" s="23" t="n"/>
      <c r="I982" s="23" t="n"/>
      <c r="J982" s="23" t="n"/>
      <c r="K982" s="19">
        <f>H982+I982+J982</f>
        <v/>
      </c>
      <c r="L982" s="19">
        <f>K982-G982</f>
        <v/>
      </c>
      <c r="M982" s="20">
        <f>L982*E982</f>
        <v/>
      </c>
      <c r="N982" s="20" t="n">
        <v>50</v>
      </c>
      <c r="O982" s="20" t="n"/>
      <c r="P982" s="20">
        <f>O982-N982</f>
        <v/>
      </c>
      <c r="Q982" s="20">
        <f>P982*E982</f>
        <v/>
      </c>
      <c r="R982" s="20" t="n"/>
    </row>
    <row r="983" ht="20" customHeight="1" s="1">
      <c r="A983" s="16" t="inlineStr">
        <is>
          <t>20698</t>
        </is>
      </c>
      <c r="B983" s="17" t="inlineStr">
        <is>
          <t>Morfose</t>
        </is>
      </c>
      <c r="C983" s="16" t="inlineStr">
        <is>
          <t>8690841010027</t>
        </is>
      </c>
      <c r="D983" s="17" t="inlineStr">
        <is>
          <t>Bebak Aci Badem Kremi cosmetic 30ml</t>
        </is>
      </c>
      <c r="E983" s="18" t="n">
        <v>6</v>
      </c>
      <c r="F983" s="18" t="n">
        <v>96</v>
      </c>
      <c r="G983" s="18" t="n">
        <v>90</v>
      </c>
      <c r="H983" s="18" t="n"/>
      <c r="I983" s="18" t="n"/>
      <c r="J983" s="18" t="n"/>
      <c r="K983" s="19">
        <f>H983+I983+J983</f>
        <v/>
      </c>
      <c r="L983" s="19">
        <f>K983-G983</f>
        <v/>
      </c>
      <c r="M983" s="20">
        <f>L983*E983</f>
        <v/>
      </c>
      <c r="N983" s="20" t="n">
        <v>50</v>
      </c>
      <c r="O983" s="20" t="n"/>
      <c r="P983" s="20">
        <f>O983-N983</f>
        <v/>
      </c>
      <c r="Q983" s="20">
        <f>P983*E983</f>
        <v/>
      </c>
      <c r="R983" s="20" t="n"/>
    </row>
    <row r="984" ht="20" customHeight="1" s="1">
      <c r="A984" s="21" t="inlineStr">
        <is>
          <t>20694</t>
        </is>
      </c>
      <c r="B984" s="22" t="inlineStr">
        <is>
          <t>Morfose</t>
        </is>
      </c>
      <c r="C984" s="21" t="inlineStr">
        <is>
          <t>8690841011512</t>
        </is>
      </c>
      <c r="D984" s="22" t="inlineStr">
        <is>
          <t>Bebak  Argan Hair Care Oil sac yagi 100ml</t>
        </is>
      </c>
      <c r="E984" s="23" t="n">
        <v>19.3</v>
      </c>
      <c r="F984" s="23" t="n">
        <v>24</v>
      </c>
      <c r="G984" s="23" t="n">
        <v>6</v>
      </c>
      <c r="H984" s="23" t="n"/>
      <c r="I984" s="23" t="n"/>
      <c r="J984" s="23" t="n"/>
      <c r="K984" s="19" t="n"/>
      <c r="L984" s="19" t="n"/>
      <c r="M984" s="20" t="n"/>
      <c r="N984" s="20" t="n">
        <v>50</v>
      </c>
      <c r="O984" s="20" t="n"/>
      <c r="P984" s="20">
        <f>O984-N984</f>
        <v/>
      </c>
      <c r="Q984" s="20">
        <f>P984*E984</f>
        <v/>
      </c>
      <c r="R984" s="20" t="n"/>
    </row>
    <row r="985" ht="20" customHeight="1" s="1">
      <c r="A985" s="16" t="inlineStr">
        <is>
          <t>20700</t>
        </is>
      </c>
      <c r="B985" s="17" t="inlineStr">
        <is>
          <t>Morfose</t>
        </is>
      </c>
      <c r="C985" s="16" t="inlineStr">
        <is>
          <t>8690841010713</t>
        </is>
      </c>
      <c r="D985" s="17" t="inlineStr">
        <is>
          <t>Bebak Ayaq Tonalnisi N1 Light tone 75ml</t>
        </is>
      </c>
      <c r="E985" s="18" t="n">
        <v>9.5</v>
      </c>
      <c r="F985" s="18" t="n">
        <v>30</v>
      </c>
      <c r="G985" s="18" t="n">
        <v>0</v>
      </c>
      <c r="H985" s="18" t="n"/>
      <c r="I985" s="18" t="n"/>
      <c r="J985" s="18" t="n"/>
      <c r="K985" s="19">
        <f>H985+I985+J985</f>
        <v/>
      </c>
      <c r="L985" s="19">
        <f>K985-G985</f>
        <v/>
      </c>
      <c r="M985" s="20">
        <f>L985*E985</f>
        <v/>
      </c>
      <c r="N985" s="20" t="n">
        <v>50</v>
      </c>
      <c r="O985" s="20" t="n"/>
      <c r="P985" s="20">
        <f>O985-N985</f>
        <v/>
      </c>
      <c r="Q985" s="20">
        <f>P985*E985</f>
        <v/>
      </c>
      <c r="R985" s="20" t="n"/>
    </row>
    <row r="986" ht="20" customHeight="1" s="1">
      <c r="A986" s="21" t="inlineStr">
        <is>
          <t>20701</t>
        </is>
      </c>
      <c r="B986" s="22" t="inlineStr">
        <is>
          <t>Morfose</t>
        </is>
      </c>
      <c r="C986" s="21" t="inlineStr">
        <is>
          <t>8690841010720</t>
        </is>
      </c>
      <c r="D986" s="22" t="inlineStr">
        <is>
          <t>Bebak Ayaq Tonalnisi N2 Medium tone 75ml</t>
        </is>
      </c>
      <c r="E986" s="23" t="n">
        <v>9.5</v>
      </c>
      <c r="F986" s="23" t="n">
        <v>30</v>
      </c>
      <c r="G986" s="23" t="n">
        <v>5</v>
      </c>
      <c r="H986" s="23" t="n"/>
      <c r="I986" s="23" t="n"/>
      <c r="J986" s="23" t="n"/>
      <c r="K986" s="19" t="n"/>
      <c r="L986" s="19" t="n"/>
      <c r="M986" s="20" t="n"/>
      <c r="N986" s="20" t="n">
        <v>50</v>
      </c>
      <c r="O986" s="20" t="n"/>
      <c r="P986" s="20">
        <f>O986-N986</f>
        <v/>
      </c>
      <c r="Q986" s="20">
        <f>P986*E986</f>
        <v/>
      </c>
      <c r="R986" s="20" t="n"/>
    </row>
    <row r="987" ht="20" customHeight="1" s="1">
      <c r="A987" s="16" t="inlineStr">
        <is>
          <t>20810</t>
        </is>
      </c>
      <c r="B987" s="17" t="inlineStr">
        <is>
          <t>Morfose</t>
        </is>
      </c>
      <c r="C987" s="16" t="inlineStr">
        <is>
          <t>8690841010072</t>
        </is>
      </c>
      <c r="D987" s="17" t="inlineStr">
        <is>
          <t>Bebak Bademli Nemlendirici el ve vucut kr 200ml</t>
        </is>
      </c>
      <c r="E987" s="18" t="n">
        <v>8.800000000000001</v>
      </c>
      <c r="F987" s="18" t="n">
        <v>12</v>
      </c>
      <c r="G987" s="18" t="n">
        <v>9</v>
      </c>
      <c r="H987" s="18" t="n"/>
      <c r="I987" s="18" t="n"/>
      <c r="J987" s="18" t="n"/>
      <c r="K987" s="19">
        <f>H987+I987+J987</f>
        <v/>
      </c>
      <c r="L987" s="19">
        <f>K987-G987</f>
        <v/>
      </c>
      <c r="M987" s="20">
        <f>L987*E987</f>
        <v/>
      </c>
      <c r="N987" s="20" t="n">
        <v>50</v>
      </c>
      <c r="O987" s="20" t="n"/>
      <c r="P987" s="20">
        <f>O987-N987</f>
        <v/>
      </c>
      <c r="Q987" s="20">
        <f>P987*E987</f>
        <v/>
      </c>
      <c r="R987" s="20" t="n"/>
    </row>
    <row r="988" ht="20" customHeight="1" s="1">
      <c r="A988" s="21" t="inlineStr">
        <is>
          <t>20812</t>
        </is>
      </c>
      <c r="B988" s="22" t="inlineStr">
        <is>
          <t>Morfose</t>
        </is>
      </c>
      <c r="C988" s="21" t="inlineStr">
        <is>
          <t>8690841013684</t>
        </is>
      </c>
      <c r="D988" s="22" t="inlineStr">
        <is>
          <t>Bebak Panthenol Cream Smoothing Spray 150ml</t>
        </is>
      </c>
      <c r="E988" s="23" t="n">
        <v>10.4</v>
      </c>
      <c r="F988" s="23" t="n">
        <v>12</v>
      </c>
      <c r="G988" s="23" t="n">
        <v>3</v>
      </c>
      <c r="H988" s="23" t="n"/>
      <c r="I988" s="23" t="n"/>
      <c r="J988" s="23" t="n"/>
      <c r="K988" s="19" t="n"/>
      <c r="L988" s="19" t="n"/>
      <c r="M988" s="20" t="n"/>
      <c r="N988" s="20" t="n">
        <v>50</v>
      </c>
      <c r="O988" s="20" t="n"/>
      <c r="P988" s="20">
        <f>O988-N988</f>
        <v/>
      </c>
      <c r="Q988" s="20">
        <f>P988*E988</f>
        <v/>
      </c>
      <c r="R988" s="20" t="n"/>
    </row>
    <row r="989" ht="20" customHeight="1" s="1">
      <c r="A989" s="16" t="inlineStr">
        <is>
          <t>21670</t>
        </is>
      </c>
      <c r="B989" s="17" t="inlineStr">
        <is>
          <t>Morfose</t>
        </is>
      </c>
      <c r="C989" s="16" t="inlineStr">
        <is>
          <t>8690841015336</t>
        </is>
      </c>
      <c r="D989" s="17" t="inlineStr">
        <is>
          <t>Bebak Sun Gunes Koruyucu Kopuk Baby SPF50+ 150ml</t>
        </is>
      </c>
      <c r="E989" s="18" t="n">
        <v>29.3</v>
      </c>
      <c r="F989" s="18" t="n">
        <v>24</v>
      </c>
      <c r="G989" s="18" t="n">
        <v>24</v>
      </c>
      <c r="H989" s="18" t="n"/>
      <c r="I989" s="18" t="n"/>
      <c r="J989" s="18" t="n"/>
      <c r="K989" s="19" t="n"/>
      <c r="L989" s="19" t="n"/>
      <c r="M989" s="20" t="n"/>
      <c r="N989" s="20" t="n">
        <v>50</v>
      </c>
      <c r="O989" s="20" t="n"/>
      <c r="P989" s="20">
        <f>O989-N989</f>
        <v/>
      </c>
      <c r="Q989" s="20">
        <f>P989*E989</f>
        <v/>
      </c>
      <c r="R989" s="20" t="n"/>
    </row>
    <row r="990" ht="20" customHeight="1" s="1">
      <c r="A990" s="21" t="inlineStr">
        <is>
          <t>20813</t>
        </is>
      </c>
      <c r="B990" s="22" t="inlineStr">
        <is>
          <t>Morfose</t>
        </is>
      </c>
      <c r="C990" s="21" t="inlineStr">
        <is>
          <t>8690841017743</t>
        </is>
      </c>
      <c r="D990" s="22" t="inlineStr">
        <is>
          <t>Bebak Kids Gunes Spreyi SPF50 175ml</t>
        </is>
      </c>
      <c r="E990" s="23" t="n">
        <v>25.8</v>
      </c>
      <c r="F990" s="23" t="n">
        <v>12</v>
      </c>
      <c r="G990" s="23" t="n">
        <v>12</v>
      </c>
      <c r="H990" s="23" t="n"/>
      <c r="I990" s="23" t="n"/>
      <c r="J990" s="23" t="n"/>
      <c r="K990" s="19">
        <f>H990+I990+J990</f>
        <v/>
      </c>
      <c r="L990" s="19">
        <f>K990-G990</f>
        <v/>
      </c>
      <c r="M990" s="20">
        <f>L990*E990</f>
        <v/>
      </c>
      <c r="N990" s="20" t="n">
        <v>50</v>
      </c>
      <c r="O990" s="20" t="n"/>
      <c r="P990" s="20">
        <f>O990-N990</f>
        <v/>
      </c>
      <c r="Q990" s="20">
        <f>P990*E990</f>
        <v/>
      </c>
      <c r="R990" s="20" t="n"/>
    </row>
    <row r="991" ht="20" customHeight="1" s="1">
      <c r="A991" s="16" t="inlineStr">
        <is>
          <t>20816</t>
        </is>
      </c>
      <c r="B991" s="17" t="inlineStr">
        <is>
          <t>Morfose</t>
        </is>
      </c>
      <c r="C991" s="16" t="inlineStr">
        <is>
          <t>8690841017750</t>
        </is>
      </c>
      <c r="D991" s="17" t="inlineStr">
        <is>
          <t>Bebak Gunes Krem Cok yuksek koruma SPF50 75ml</t>
        </is>
      </c>
      <c r="E991" s="18" t="n">
        <v>15.9</v>
      </c>
      <c r="F991" s="18" t="n">
        <v>24</v>
      </c>
      <c r="G991" s="18" t="n">
        <v>0</v>
      </c>
      <c r="H991" s="18" t="n"/>
      <c r="I991" s="18" t="n"/>
      <c r="J991" s="18" t="n"/>
      <c r="K991" s="19">
        <f>H991+I991+J991</f>
        <v/>
      </c>
      <c r="L991" s="19">
        <f>K991-G991</f>
        <v/>
      </c>
      <c r="M991" s="20">
        <f>L991*E991</f>
        <v/>
      </c>
      <c r="N991" s="20" t="n">
        <v>50</v>
      </c>
      <c r="O991" s="20" t="n"/>
      <c r="P991" s="20">
        <f>O991-N991</f>
        <v/>
      </c>
      <c r="Q991" s="20">
        <f>P991*E991</f>
        <v/>
      </c>
      <c r="R991" s="20" t="n"/>
    </row>
    <row r="992" ht="20" customHeight="1" s="1">
      <c r="A992" s="21" t="inlineStr">
        <is>
          <t>20037</t>
        </is>
      </c>
      <c r="B992" s="22" t="inlineStr">
        <is>
          <t>Morfose</t>
        </is>
      </c>
      <c r="C992" s="21" t="inlineStr">
        <is>
          <t>8681701007974</t>
        </is>
      </c>
      <c r="D992" s="22" t="inlineStr">
        <is>
          <t>Ossion Barber Line 10X Wax Sprey 300ml</t>
        </is>
      </c>
      <c r="E992" s="23" t="n">
        <v>7.3</v>
      </c>
      <c r="F992" s="23" t="n">
        <v>24</v>
      </c>
      <c r="G992" s="23" t="n">
        <v>44</v>
      </c>
      <c r="H992" s="23" t="n"/>
      <c r="I992" s="23" t="n"/>
      <c r="J992" s="23" t="n"/>
      <c r="K992" s="19">
        <f>H992+I992+J992</f>
        <v/>
      </c>
      <c r="L992" s="19">
        <f>K992-G992</f>
        <v/>
      </c>
      <c r="M992" s="20">
        <f>L992*E992</f>
        <v/>
      </c>
      <c r="N992" s="20" t="n">
        <v>50</v>
      </c>
      <c r="O992" s="20" t="n"/>
      <c r="P992" s="20">
        <f>O992-N992</f>
        <v/>
      </c>
      <c r="Q992" s="20">
        <f>P992*E992</f>
        <v/>
      </c>
      <c r="R992" s="20" t="n"/>
    </row>
    <row r="993" ht="20" customHeight="1" s="1">
      <c r="A993" s="16" t="inlineStr">
        <is>
          <t>20038</t>
        </is>
      </c>
      <c r="B993" s="17" t="inlineStr">
        <is>
          <t>Morfose</t>
        </is>
      </c>
      <c r="C993" s="16" t="inlineStr">
        <is>
          <t>8681701002979</t>
        </is>
      </c>
      <c r="D993" s="17" t="inlineStr">
        <is>
          <t>Ossion Barber Line Sac Sprey Extra Strong 400ml</t>
        </is>
      </c>
      <c r="E993" s="18" t="n">
        <v>6.4</v>
      </c>
      <c r="F993" s="18" t="n">
        <v>24</v>
      </c>
      <c r="G993" s="18" t="n">
        <v>12</v>
      </c>
      <c r="H993" s="18" t="n"/>
      <c r="I993" s="18" t="n"/>
      <c r="J993" s="18" t="n"/>
      <c r="K993" s="19">
        <f>H993+I993+J993</f>
        <v/>
      </c>
      <c r="L993" s="19">
        <f>K993-G993</f>
        <v/>
      </c>
      <c r="M993" s="20">
        <f>L993*E993</f>
        <v/>
      </c>
      <c r="N993" s="20" t="n">
        <v>50</v>
      </c>
      <c r="O993" s="20" t="n"/>
      <c r="P993" s="20">
        <f>O993-N993</f>
        <v/>
      </c>
      <c r="Q993" s="20">
        <f>P993*E993</f>
        <v/>
      </c>
      <c r="R993" s="20" t="n"/>
    </row>
    <row r="994" ht="20" customHeight="1" s="1">
      <c r="A994" s="21" t="inlineStr">
        <is>
          <t>20808</t>
        </is>
      </c>
      <c r="B994" s="22" t="inlineStr">
        <is>
          <t>Morfose</t>
        </is>
      </c>
      <c r="C994" s="21" t="inlineStr">
        <is>
          <t>8681701009480</t>
        </is>
      </c>
      <c r="D994" s="22" t="inlineStr">
        <is>
          <t>Ossion Professional Curl Mousse 350ml</t>
        </is>
      </c>
      <c r="E994" s="23" t="n">
        <v>9.199999999999999</v>
      </c>
      <c r="F994" s="23" t="n">
        <v>24</v>
      </c>
      <c r="G994" s="23" t="n">
        <v>26</v>
      </c>
      <c r="H994" s="23" t="n"/>
      <c r="I994" s="23" t="n"/>
      <c r="J994" s="23" t="n"/>
      <c r="K994" s="19">
        <f>H994+I994+J994</f>
        <v/>
      </c>
      <c r="L994" s="19">
        <f>K994-G994</f>
        <v/>
      </c>
      <c r="M994" s="20">
        <f>L994*E994</f>
        <v/>
      </c>
      <c r="N994" s="20" t="n">
        <v>50</v>
      </c>
      <c r="O994" s="20" t="n"/>
      <c r="P994" s="20">
        <f>O994-N994</f>
        <v/>
      </c>
      <c r="Q994" s="20">
        <f>P994*E994</f>
        <v/>
      </c>
      <c r="R994" s="20" t="n"/>
    </row>
    <row r="995" ht="20" customHeight="1" s="1">
      <c r="A995" s="16" t="inlineStr">
        <is>
          <t>20039</t>
        </is>
      </c>
      <c r="B995" s="17" t="inlineStr">
        <is>
          <t>Morfose</t>
        </is>
      </c>
      <c r="C995" s="16" t="inlineStr">
        <is>
          <t>8681701006731</t>
        </is>
      </c>
      <c r="D995" s="17" t="inlineStr">
        <is>
          <t>Ossion Barber Line Shampuan Salt Free 1000ml</t>
        </is>
      </c>
      <c r="E995" s="18" t="n">
        <v>11.6</v>
      </c>
      <c r="F995" s="18" t="n">
        <v>12</v>
      </c>
      <c r="G995" s="18" t="n">
        <v>63</v>
      </c>
      <c r="H995" s="18" t="n"/>
      <c r="I995" s="18" t="n"/>
      <c r="J995" s="18" t="n"/>
      <c r="K995" s="19">
        <f>H995+I995+J995</f>
        <v/>
      </c>
      <c r="L995" s="19">
        <f>K995-G995</f>
        <v/>
      </c>
      <c r="M995" s="20">
        <f>L995*E995</f>
        <v/>
      </c>
      <c r="N995" s="20" t="n">
        <v>50</v>
      </c>
      <c r="O995" s="20" t="n"/>
      <c r="P995" s="20">
        <f>O995-N995</f>
        <v/>
      </c>
      <c r="Q995" s="20">
        <f>P995*E995</f>
        <v/>
      </c>
      <c r="R995" s="20" t="n"/>
    </row>
    <row r="996" ht="20" customHeight="1" s="1">
      <c r="A996" s="21" t="inlineStr">
        <is>
          <t>20040</t>
        </is>
      </c>
      <c r="B996" s="22" t="inlineStr">
        <is>
          <t>Morfose</t>
        </is>
      </c>
      <c r="C996" s="21" t="inlineStr">
        <is>
          <t>8681701005512</t>
        </is>
      </c>
      <c r="D996" s="22" t="inlineStr">
        <is>
          <t>Ossion Barber Line Shampuan Purifying 500ml</t>
        </is>
      </c>
      <c r="E996" s="23" t="n">
        <v>8.6</v>
      </c>
      <c r="F996" s="23" t="n">
        <v>12</v>
      </c>
      <c r="G996" s="23" t="n">
        <v>43</v>
      </c>
      <c r="H996" s="23" t="n"/>
      <c r="I996" s="23" t="n"/>
      <c r="J996" s="23" t="n"/>
      <c r="K996" s="19">
        <f>H996+I996+J996</f>
        <v/>
      </c>
      <c r="L996" s="19">
        <f>K996-G996</f>
        <v/>
      </c>
      <c r="M996" s="20">
        <f>L996*E996</f>
        <v/>
      </c>
      <c r="N996" s="20" t="n">
        <v>50</v>
      </c>
      <c r="O996" s="20" t="n"/>
      <c r="P996" s="20">
        <f>O996-N996</f>
        <v/>
      </c>
      <c r="Q996" s="20">
        <f>P996*E996</f>
        <v/>
      </c>
      <c r="R996" s="20" t="n"/>
    </row>
    <row r="997" ht="20" customHeight="1" s="1">
      <c r="A997" s="16" t="inlineStr">
        <is>
          <t>20041</t>
        </is>
      </c>
      <c r="B997" s="17" t="inlineStr">
        <is>
          <t>Morfose</t>
        </is>
      </c>
      <c r="C997" s="16" t="inlineStr">
        <is>
          <t>8681701008018</t>
        </is>
      </c>
      <c r="D997" s="17" t="inlineStr">
        <is>
          <t>Ossion Barber Line Shamp Dry Biotin Care 200ml</t>
        </is>
      </c>
      <c r="E997" s="18" t="n">
        <v>6.5</v>
      </c>
      <c r="F997" s="18" t="n">
        <v>24</v>
      </c>
      <c r="G997" s="18" t="n">
        <v>20</v>
      </c>
      <c r="H997" s="18" t="n"/>
      <c r="I997" s="18" t="n"/>
      <c r="J997" s="18" t="n"/>
      <c r="K997" s="19">
        <f>H997+I997+J997</f>
        <v/>
      </c>
      <c r="L997" s="19">
        <f>K997-G997</f>
        <v/>
      </c>
      <c r="M997" s="20">
        <f>L997*E997</f>
        <v/>
      </c>
      <c r="N997" s="20" t="n">
        <v>50</v>
      </c>
      <c r="O997" s="20" t="n"/>
      <c r="P997" s="20">
        <f>O997-N997</f>
        <v/>
      </c>
      <c r="Q997" s="20">
        <f>P997*E997</f>
        <v/>
      </c>
      <c r="R997" s="20" t="n"/>
    </row>
    <row r="998" ht="20" customHeight="1" s="1">
      <c r="A998" s="21" t="inlineStr">
        <is>
          <t>20042</t>
        </is>
      </c>
      <c r="B998" s="22" t="inlineStr">
        <is>
          <t>Morfose</t>
        </is>
      </c>
      <c r="C998" s="21" t="inlineStr">
        <is>
          <t>8681701002955</t>
        </is>
      </c>
      <c r="D998" s="22" t="inlineStr">
        <is>
          <t>Ossion Barber Line Hair Wax Meqa Hold 150ml</t>
        </is>
      </c>
      <c r="E998" s="23" t="n">
        <v>5.3</v>
      </c>
      <c r="F998" s="23" t="n">
        <v>48</v>
      </c>
      <c r="G998" s="23" t="n">
        <v>1</v>
      </c>
      <c r="H998" s="23" t="n"/>
      <c r="I998" s="23" t="n"/>
      <c r="J998" s="23" t="n"/>
      <c r="K998" s="19" t="n"/>
      <c r="L998" s="19" t="n"/>
      <c r="M998" s="20" t="n"/>
      <c r="N998" s="20" t="n">
        <v>50</v>
      </c>
      <c r="O998" s="20" t="n"/>
      <c r="P998" s="20">
        <f>O998-N998</f>
        <v/>
      </c>
      <c r="Q998" s="20">
        <f>P998*E998</f>
        <v/>
      </c>
      <c r="R998" s="20" t="n"/>
    </row>
    <row r="999" ht="20" customHeight="1" s="1">
      <c r="A999" s="16" t="inlineStr">
        <is>
          <t>20044</t>
        </is>
      </c>
      <c r="B999" s="17" t="inlineStr">
        <is>
          <t>Morfose</t>
        </is>
      </c>
      <c r="C999" s="16" t="inlineStr">
        <is>
          <t>8681701002962</t>
        </is>
      </c>
      <c r="D999" s="17" t="inlineStr">
        <is>
          <t>Ossion Barber Line Hair Wax Ultra Hold 150ml</t>
        </is>
      </c>
      <c r="E999" s="18" t="n">
        <v>5.3</v>
      </c>
      <c r="F999" s="18" t="n">
        <v>48</v>
      </c>
      <c r="G999" s="18" t="n">
        <v>48</v>
      </c>
      <c r="H999" s="18" t="n"/>
      <c r="I999" s="18" t="n"/>
      <c r="J999" s="18" t="n"/>
      <c r="K999" s="19">
        <f>H999+I999+J999</f>
        <v/>
      </c>
      <c r="L999" s="19">
        <f>K999-G999</f>
        <v/>
      </c>
      <c r="M999" s="20">
        <f>L999*E999</f>
        <v/>
      </c>
      <c r="N999" s="20" t="n">
        <v>50</v>
      </c>
      <c r="O999" s="20" t="n"/>
      <c r="P999" s="20">
        <f>O999-N999</f>
        <v/>
      </c>
      <c r="Q999" s="20">
        <f>P999*E999</f>
        <v/>
      </c>
      <c r="R999" s="20" t="n"/>
    </row>
    <row r="1000" ht="20" customHeight="1" s="1">
      <c r="A1000" s="21" t="inlineStr">
        <is>
          <t>20045</t>
        </is>
      </c>
      <c r="B1000" s="22" t="inlineStr">
        <is>
          <t>Morfose</t>
        </is>
      </c>
      <c r="C1000" s="21" t="inlineStr">
        <is>
          <t>8699009441529</t>
        </is>
      </c>
      <c r="D1000" s="22" t="inlineStr">
        <is>
          <t>Ossion Barber Line Hair Wax Medium Hold 150ml</t>
        </is>
      </c>
      <c r="E1000" s="23" t="n">
        <v>5.3</v>
      </c>
      <c r="F1000" s="23" t="n">
        <v>48</v>
      </c>
      <c r="G1000" s="23" t="n">
        <v>25</v>
      </c>
      <c r="H1000" s="23" t="n"/>
      <c r="I1000" s="23" t="n"/>
      <c r="J1000" s="23" t="n"/>
      <c r="K1000" s="19">
        <f>H1000+I1000+J1000</f>
        <v/>
      </c>
      <c r="L1000" s="19">
        <f>K1000-G1000</f>
        <v/>
      </c>
      <c r="M1000" s="20">
        <f>L1000*E1000</f>
        <v/>
      </c>
      <c r="N1000" s="20" t="n">
        <v>50</v>
      </c>
      <c r="O1000" s="20" t="n"/>
      <c r="P1000" s="20">
        <f>O1000-N1000</f>
        <v/>
      </c>
      <c r="Q1000" s="20">
        <f>P1000*E1000</f>
        <v/>
      </c>
      <c r="R1000" s="20" t="n"/>
    </row>
    <row r="1001" ht="20" customHeight="1" s="1">
      <c r="A1001" s="16" t="inlineStr">
        <is>
          <t>20046</t>
        </is>
      </c>
      <c r="B1001" s="17" t="inlineStr">
        <is>
          <t>Morfose</t>
        </is>
      </c>
      <c r="C1001" s="16" t="inlineStr">
        <is>
          <t>8699009441536</t>
        </is>
      </c>
      <c r="D1001" s="17" t="inlineStr">
        <is>
          <t>Ossion Barber Line Hair Wax Extra Hold 150ml</t>
        </is>
      </c>
      <c r="E1001" s="18" t="n">
        <v>5.3</v>
      </c>
      <c r="F1001" s="18" t="n">
        <v>48</v>
      </c>
      <c r="G1001" s="18" t="n">
        <v>48</v>
      </c>
      <c r="H1001" s="18" t="n"/>
      <c r="I1001" s="18" t="n"/>
      <c r="J1001" s="18" t="n"/>
      <c r="K1001" s="19">
        <f>H1001+I1001+J1001</f>
        <v/>
      </c>
      <c r="L1001" s="19">
        <f>K1001-G1001</f>
        <v/>
      </c>
      <c r="M1001" s="20">
        <f>L1001*E1001</f>
        <v/>
      </c>
      <c r="N1001" s="20" t="n">
        <v>50</v>
      </c>
      <c r="O1001" s="20" t="n"/>
      <c r="P1001" s="20">
        <f>O1001-N1001</f>
        <v/>
      </c>
      <c r="Q1001" s="20">
        <f>P1001*E1001</f>
        <v/>
      </c>
      <c r="R1001" s="20" t="n"/>
    </row>
    <row r="1002" ht="20" customHeight="1" s="1">
      <c r="A1002" s="21" t="inlineStr">
        <is>
          <t>20079</t>
        </is>
      </c>
      <c r="B1002" s="22" t="inlineStr">
        <is>
          <t>Morfose</t>
        </is>
      </c>
      <c r="C1002" s="21" t="inlineStr">
        <is>
          <t>8681701000777</t>
        </is>
      </c>
      <c r="D1002" s="22" t="inlineStr">
        <is>
          <t>Ossion Sac ve Saqal Krem Mat Wax 150ml</t>
        </is>
      </c>
      <c r="E1002" s="23" t="n">
        <v>5.4</v>
      </c>
      <c r="F1002" s="23" t="n">
        <v>48</v>
      </c>
      <c r="G1002" s="23" t="n">
        <v>42</v>
      </c>
      <c r="H1002" s="23" t="n"/>
      <c r="I1002" s="23" t="n"/>
      <c r="J1002" s="23" t="n"/>
      <c r="K1002" s="19">
        <f>H1002+I1002+J1002</f>
        <v/>
      </c>
      <c r="L1002" s="19">
        <f>K1002-G1002</f>
        <v/>
      </c>
      <c r="M1002" s="20">
        <f>L1002*E1002</f>
        <v/>
      </c>
      <c r="N1002" s="20" t="n">
        <v>50</v>
      </c>
      <c r="O1002" s="20" t="n"/>
      <c r="P1002" s="20">
        <f>O1002-N1002</f>
        <v/>
      </c>
      <c r="Q1002" s="20">
        <f>P1002*E1002</f>
        <v/>
      </c>
      <c r="R1002" s="20" t="n"/>
    </row>
    <row r="1003" ht="20" customHeight="1" s="1">
      <c r="A1003" s="16" t="inlineStr">
        <is>
          <t>20047</t>
        </is>
      </c>
      <c r="B1003" s="17" t="inlineStr">
        <is>
          <t>Morfose</t>
        </is>
      </c>
      <c r="C1003" s="16" t="inlineStr">
        <is>
          <t>8681701005321</t>
        </is>
      </c>
      <c r="D1003" s="17" t="inlineStr">
        <is>
          <t>Ossion Barber Line Sac Toniqi 250ml</t>
        </is>
      </c>
      <c r="E1003" s="18" t="n">
        <v>6.6</v>
      </c>
      <c r="F1003" s="18" t="n">
        <v>48</v>
      </c>
      <c r="G1003" s="18" t="n">
        <v>44</v>
      </c>
      <c r="H1003" s="18" t="n"/>
      <c r="I1003" s="18" t="n"/>
      <c r="J1003" s="18" t="n"/>
      <c r="K1003" s="19">
        <f>H1003+I1003+J1003</f>
        <v/>
      </c>
      <c r="L1003" s="19">
        <f>K1003-G1003</f>
        <v/>
      </c>
      <c r="M1003" s="20">
        <f>L1003*E1003</f>
        <v/>
      </c>
      <c r="N1003" s="20" t="n">
        <v>50</v>
      </c>
      <c r="O1003" s="20" t="n"/>
      <c r="P1003" s="20">
        <f>O1003-N1003</f>
        <v/>
      </c>
      <c r="Q1003" s="20">
        <f>P1003*E1003</f>
        <v/>
      </c>
      <c r="R1003" s="20" t="n"/>
    </row>
    <row r="1004" ht="20" customHeight="1" s="1">
      <c r="A1004" s="21" t="inlineStr">
        <is>
          <t>20048</t>
        </is>
      </c>
      <c r="B1004" s="22" t="inlineStr">
        <is>
          <t>Morfose</t>
        </is>
      </c>
      <c r="C1004" s="21" t="inlineStr">
        <is>
          <t>8681701003242</t>
        </is>
      </c>
      <c r="D1004" s="22" t="inlineStr">
        <is>
          <t>Ossion Barber Line Sakal Bakim Sampun 100ml</t>
        </is>
      </c>
      <c r="E1004" s="23" t="n">
        <v>12.7</v>
      </c>
      <c r="F1004" s="23" t="n">
        <v>48</v>
      </c>
      <c r="G1004" s="23" t="n">
        <v>96</v>
      </c>
      <c r="H1004" s="23" t="n"/>
      <c r="I1004" s="23" t="n"/>
      <c r="J1004" s="23" t="n"/>
      <c r="K1004" s="19">
        <f>H1004+I1004+J1004</f>
        <v/>
      </c>
      <c r="L1004" s="19">
        <f>K1004-G1004</f>
        <v/>
      </c>
      <c r="M1004" s="20">
        <f>L1004*E1004</f>
        <v/>
      </c>
      <c r="N1004" s="20" t="n">
        <v>50</v>
      </c>
      <c r="O1004" s="20" t="n"/>
      <c r="P1004" s="20">
        <f>O1004-N1004</f>
        <v/>
      </c>
      <c r="Q1004" s="20">
        <f>P1004*E1004</f>
        <v/>
      </c>
      <c r="R1004" s="20" t="n"/>
    </row>
    <row r="1005" ht="20" customHeight="1" s="1">
      <c r="A1005" s="16" t="inlineStr">
        <is>
          <t>20051</t>
        </is>
      </c>
      <c r="B1005" s="17" t="inlineStr">
        <is>
          <t>Morfose</t>
        </is>
      </c>
      <c r="C1005" s="16" t="inlineStr">
        <is>
          <t>8681701003235</t>
        </is>
      </c>
      <c r="D1005" s="17" t="inlineStr">
        <is>
          <t>Ossion Barber Line Sakal Bakim Balzami 100ml</t>
        </is>
      </c>
      <c r="E1005" s="18" t="n">
        <v>12.7</v>
      </c>
      <c r="F1005" s="18" t="n">
        <v>48</v>
      </c>
      <c r="G1005" s="18" t="n">
        <v>94</v>
      </c>
      <c r="H1005" s="18" t="n"/>
      <c r="I1005" s="18" t="n"/>
      <c r="J1005" s="18" t="n"/>
      <c r="K1005" s="19">
        <f>H1005+I1005+J1005</f>
        <v/>
      </c>
      <c r="L1005" s="19">
        <f>K1005-G1005</f>
        <v/>
      </c>
      <c r="M1005" s="20">
        <f>L1005*E1005</f>
        <v/>
      </c>
      <c r="N1005" s="20" t="n">
        <v>50</v>
      </c>
      <c r="O1005" s="20" t="n"/>
      <c r="P1005" s="20">
        <f>O1005-N1005</f>
        <v/>
      </c>
      <c r="Q1005" s="20">
        <f>P1005*E1005</f>
        <v/>
      </c>
      <c r="R1005" s="20" t="n"/>
    </row>
    <row r="1006" ht="20" customHeight="1" s="1">
      <c r="A1006" s="21" t="inlineStr">
        <is>
          <t>21049</t>
        </is>
      </c>
      <c r="B1006" s="22" t="inlineStr">
        <is>
          <t>Morfose</t>
        </is>
      </c>
      <c r="C1006" s="21" t="inlineStr">
        <is>
          <t>8681701005284</t>
        </is>
      </c>
      <c r="D1006" s="22" t="inlineStr">
        <is>
          <t>Ossion Barber Line Tiras Kolon Allusion 700ml</t>
        </is>
      </c>
      <c r="E1006" s="23" t="n">
        <v>8.800000000000001</v>
      </c>
      <c r="F1006" s="23" t="n">
        <v>12</v>
      </c>
      <c r="G1006" s="23" t="n">
        <v>20</v>
      </c>
      <c r="H1006" s="23" t="n"/>
      <c r="I1006" s="23" t="n"/>
      <c r="J1006" s="23" t="n"/>
      <c r="K1006" s="19">
        <f>H1006+I1006+J1006</f>
        <v/>
      </c>
      <c r="L1006" s="19">
        <f>K1006-G1006</f>
        <v/>
      </c>
      <c r="M1006" s="20">
        <f>L1006*E1006</f>
        <v/>
      </c>
      <c r="N1006" s="20" t="n">
        <v>50</v>
      </c>
      <c r="O1006" s="20" t="n"/>
      <c r="P1006" s="20">
        <f>O1006-N1006</f>
        <v/>
      </c>
      <c r="Q1006" s="20">
        <f>P1006*E1006</f>
        <v/>
      </c>
      <c r="R1006" s="20" t="n"/>
    </row>
    <row r="1007" ht="20" customHeight="1" s="1">
      <c r="A1007" s="16" t="inlineStr">
        <is>
          <t>20053</t>
        </is>
      </c>
      <c r="B1007" s="17" t="inlineStr">
        <is>
          <t>Morfose</t>
        </is>
      </c>
      <c r="C1007" s="16" t="inlineStr">
        <is>
          <t>8681701005307</t>
        </is>
      </c>
      <c r="D1007" s="17" t="inlineStr">
        <is>
          <t>Ossion Barber Line Tiras Kolon Rock Mountain 700ml</t>
        </is>
      </c>
      <c r="E1007" s="18" t="n">
        <v>9.800000000000001</v>
      </c>
      <c r="F1007" s="18" t="n">
        <v>12</v>
      </c>
      <c r="G1007" s="18" t="n">
        <v>0</v>
      </c>
      <c r="H1007" s="18" t="n"/>
      <c r="I1007" s="18" t="n"/>
      <c r="J1007" s="18" t="n"/>
      <c r="K1007" s="19">
        <f>H1007+I1007+J1007</f>
        <v/>
      </c>
      <c r="L1007" s="19">
        <f>K1007-G1007</f>
        <v/>
      </c>
      <c r="M1007" s="20">
        <f>L1007*E1007</f>
        <v/>
      </c>
      <c r="N1007" s="20" t="n">
        <v>50</v>
      </c>
      <c r="O1007" s="20" t="n"/>
      <c r="P1007" s="20">
        <f>O1007-N1007</f>
        <v/>
      </c>
      <c r="Q1007" s="20">
        <f>P1007*E1007</f>
        <v/>
      </c>
      <c r="R1007" s="20" t="n"/>
    </row>
    <row r="1008" ht="20" customHeight="1" s="1">
      <c r="A1008" s="21" t="inlineStr">
        <is>
          <t>20054</t>
        </is>
      </c>
      <c r="B1008" s="22" t="inlineStr">
        <is>
          <t>Morfose</t>
        </is>
      </c>
      <c r="C1008" s="21" t="inlineStr">
        <is>
          <t>8681701005291</t>
        </is>
      </c>
      <c r="D1008" s="22" t="inlineStr">
        <is>
          <t>Ossion Barber Line Tiras Kolon Jaquar Fire 700ml</t>
        </is>
      </c>
      <c r="E1008" s="23" t="n">
        <v>9.800000000000001</v>
      </c>
      <c r="F1008" s="23" t="n">
        <v>12</v>
      </c>
      <c r="G1008" s="23" t="n">
        <v>6</v>
      </c>
      <c r="H1008" s="23" t="n"/>
      <c r="I1008" s="23" t="n"/>
      <c r="J1008" s="23" t="n"/>
      <c r="K1008" s="19" t="n"/>
      <c r="L1008" s="19" t="n"/>
      <c r="M1008" s="20" t="n"/>
      <c r="N1008" s="20" t="n">
        <v>50</v>
      </c>
      <c r="O1008" s="20" t="n"/>
      <c r="P1008" s="20">
        <f>O1008-N1008</f>
        <v/>
      </c>
      <c r="Q1008" s="20">
        <f>P1008*E1008</f>
        <v/>
      </c>
      <c r="R1008" s="20" t="n"/>
    </row>
    <row r="1009" ht="20" customHeight="1" s="1">
      <c r="A1009" s="16" t="inlineStr">
        <is>
          <t>20056</t>
        </is>
      </c>
      <c r="B1009" s="17" t="inlineStr">
        <is>
          <t>Morfose</t>
        </is>
      </c>
      <c r="C1009" s="16" t="inlineStr">
        <is>
          <t>8681701005314</t>
        </is>
      </c>
      <c r="D1009" s="17" t="inlineStr">
        <is>
          <t>Ossion Barber Line Tiras Kolon Lotus Accent 700ml</t>
        </is>
      </c>
      <c r="E1009" s="18" t="n">
        <v>9.800000000000001</v>
      </c>
      <c r="F1009" s="18" t="n">
        <v>12</v>
      </c>
      <c r="G1009" s="18" t="n">
        <v>10</v>
      </c>
      <c r="H1009" s="18" t="n"/>
      <c r="I1009" s="18" t="n"/>
      <c r="J1009" s="18" t="n"/>
      <c r="K1009" s="19" t="n"/>
      <c r="L1009" s="19" t="n"/>
      <c r="M1009" s="20" t="n"/>
      <c r="N1009" s="20" t="n">
        <v>50</v>
      </c>
      <c r="O1009" s="20" t="n"/>
      <c r="P1009" s="20">
        <f>O1009-N1009</f>
        <v/>
      </c>
      <c r="Q1009" s="20">
        <f>P1009*E1009</f>
        <v/>
      </c>
      <c r="R1009" s="20" t="n"/>
    </row>
    <row r="1010" ht="20" customHeight="1" s="1">
      <c r="A1010" s="21" t="inlineStr">
        <is>
          <t>20057</t>
        </is>
      </c>
      <c r="B1010" s="22" t="inlineStr">
        <is>
          <t>Morfose</t>
        </is>
      </c>
      <c r="C1010" s="21" t="inlineStr">
        <is>
          <t>8681701005475</t>
        </is>
      </c>
      <c r="D1010" s="22" t="inlineStr">
        <is>
          <t>Ossion Barber Line Cologne Sprey Impact 300ml</t>
        </is>
      </c>
      <c r="E1010" s="23" t="n">
        <v>7.6</v>
      </c>
      <c r="F1010" s="23" t="n">
        <v>24</v>
      </c>
      <c r="G1010" s="23" t="n">
        <v>20</v>
      </c>
      <c r="H1010" s="23" t="n"/>
      <c r="I1010" s="23" t="n"/>
      <c r="J1010" s="23" t="n"/>
      <c r="K1010" s="19">
        <f>H1010+I1010+J1010</f>
        <v/>
      </c>
      <c r="L1010" s="19">
        <f>K1010-G1010</f>
        <v/>
      </c>
      <c r="M1010" s="20">
        <f>L1010*E1010</f>
        <v/>
      </c>
      <c r="N1010" s="20" t="n">
        <v>50</v>
      </c>
      <c r="O1010" s="20" t="n"/>
      <c r="P1010" s="20">
        <f>O1010-N1010</f>
        <v/>
      </c>
      <c r="Q1010" s="20">
        <f>P1010*E1010</f>
        <v/>
      </c>
      <c r="R1010" s="20" t="n"/>
    </row>
    <row r="1011" ht="20" customHeight="1" s="1">
      <c r="A1011" s="16" t="inlineStr">
        <is>
          <t>20058</t>
        </is>
      </c>
      <c r="B1011" s="17" t="inlineStr">
        <is>
          <t>Morfose</t>
        </is>
      </c>
      <c r="C1011" s="16" t="inlineStr">
        <is>
          <t>8681701005499</t>
        </is>
      </c>
      <c r="D1011" s="17" t="inlineStr">
        <is>
          <t>Ossion Barber Line EDC Sprey Storm 300ml</t>
        </is>
      </c>
      <c r="E1011" s="18" t="n">
        <v>7.6</v>
      </c>
      <c r="F1011" s="18" t="n">
        <v>24</v>
      </c>
      <c r="G1011" s="18" t="n">
        <v>16</v>
      </c>
      <c r="H1011" s="18" t="n"/>
      <c r="I1011" s="18" t="n"/>
      <c r="J1011" s="18" t="n"/>
      <c r="K1011" s="19">
        <f>H1011+I1011+J1011</f>
        <v/>
      </c>
      <c r="L1011" s="19">
        <f>K1011-G1011</f>
        <v/>
      </c>
      <c r="M1011" s="20">
        <f>L1011*E1011</f>
        <v/>
      </c>
      <c r="N1011" s="20" t="n">
        <v>50</v>
      </c>
      <c r="O1011" s="20" t="n"/>
      <c r="P1011" s="20">
        <f>O1011-N1011</f>
        <v/>
      </c>
      <c r="Q1011" s="20">
        <f>P1011*E1011</f>
        <v/>
      </c>
      <c r="R1011" s="20" t="n"/>
    </row>
    <row r="1012" ht="20" customHeight="1" s="1">
      <c r="A1012" s="21" t="inlineStr">
        <is>
          <t>20060</t>
        </is>
      </c>
      <c r="B1012" s="22" t="inlineStr">
        <is>
          <t>Morfose</t>
        </is>
      </c>
      <c r="C1012" s="21" t="inlineStr">
        <is>
          <t>8681701007691</t>
        </is>
      </c>
      <c r="D1012" s="22" t="inlineStr">
        <is>
          <t>Ossion Barber Line 2/1 Cologne Red Storm 400ml</t>
        </is>
      </c>
      <c r="E1012" s="23" t="n">
        <v>10.2</v>
      </c>
      <c r="F1012" s="23" t="n">
        <v>24</v>
      </c>
      <c r="G1012" s="23" t="n">
        <v>22</v>
      </c>
      <c r="H1012" s="23" t="n"/>
      <c r="I1012" s="23" t="n"/>
      <c r="J1012" s="23" t="n"/>
      <c r="K1012" s="19">
        <f>H1012+I1012+J1012</f>
        <v/>
      </c>
      <c r="L1012" s="19">
        <f>K1012-G1012</f>
        <v/>
      </c>
      <c r="M1012" s="20">
        <f>L1012*E1012</f>
        <v/>
      </c>
      <c r="N1012" s="20" t="n">
        <v>50</v>
      </c>
      <c r="O1012" s="20" t="n"/>
      <c r="P1012" s="20">
        <f>O1012-N1012</f>
        <v/>
      </c>
      <c r="Q1012" s="20">
        <f>P1012*E1012</f>
        <v/>
      </c>
      <c r="R1012" s="20" t="n"/>
    </row>
    <row r="1013" ht="20" customHeight="1" s="1">
      <c r="A1013" s="16" t="inlineStr">
        <is>
          <t>20061</t>
        </is>
      </c>
      <c r="B1013" s="17" t="inlineStr">
        <is>
          <t>Morfose</t>
        </is>
      </c>
      <c r="C1013" s="16" t="inlineStr">
        <is>
          <t>8681701007660</t>
        </is>
      </c>
      <c r="D1013" s="17" t="inlineStr">
        <is>
          <t>Ossion Barber Line 2/1 Cologne Miami Night 400ml</t>
        </is>
      </c>
      <c r="E1013" s="18" t="n">
        <v>10.2</v>
      </c>
      <c r="F1013" s="18" t="n">
        <v>24</v>
      </c>
      <c r="G1013" s="18" t="n">
        <v>22</v>
      </c>
      <c r="H1013" s="18" t="n"/>
      <c r="I1013" s="18" t="n"/>
      <c r="J1013" s="18" t="n"/>
      <c r="K1013" s="19">
        <f>H1013+I1013+J1013</f>
        <v/>
      </c>
      <c r="L1013" s="19">
        <f>K1013-G1013</f>
        <v/>
      </c>
      <c r="M1013" s="20">
        <f>L1013*E1013</f>
        <v/>
      </c>
      <c r="N1013" s="20" t="n">
        <v>50</v>
      </c>
      <c r="O1013" s="20" t="n"/>
      <c r="P1013" s="20">
        <f>O1013-N1013</f>
        <v/>
      </c>
      <c r="Q1013" s="20">
        <f>P1013*E1013</f>
        <v/>
      </c>
      <c r="R1013" s="20" t="n"/>
    </row>
    <row r="1014" ht="20" customHeight="1" s="1">
      <c r="A1014" s="21" t="inlineStr">
        <is>
          <t>20062</t>
        </is>
      </c>
      <c r="B1014" s="22" t="inlineStr">
        <is>
          <t>Morfose</t>
        </is>
      </c>
      <c r="C1014" s="21" t="inlineStr">
        <is>
          <t>8681701007653</t>
        </is>
      </c>
      <c r="D1014" s="22" t="inlineStr">
        <is>
          <t>Ossion Barber Line 2/1 Cologne Medellin Soul 400ml</t>
        </is>
      </c>
      <c r="E1014" s="23" t="n">
        <v>10.2</v>
      </c>
      <c r="F1014" s="23" t="n">
        <v>24</v>
      </c>
      <c r="G1014" s="23" t="n">
        <v>22</v>
      </c>
      <c r="H1014" s="23" t="n"/>
      <c r="I1014" s="23" t="n"/>
      <c r="J1014" s="23" t="n"/>
      <c r="K1014" s="19">
        <f>H1014+I1014+J1014</f>
        <v/>
      </c>
      <c r="L1014" s="19">
        <f>K1014-G1014</f>
        <v/>
      </c>
      <c r="M1014" s="20">
        <f>L1014*E1014</f>
        <v/>
      </c>
      <c r="N1014" s="20" t="n">
        <v>50</v>
      </c>
      <c r="O1014" s="20" t="n"/>
      <c r="P1014" s="20">
        <f>O1014-N1014</f>
        <v/>
      </c>
      <c r="Q1014" s="20">
        <f>P1014*E1014</f>
        <v/>
      </c>
      <c r="R1014" s="20" t="n"/>
    </row>
    <row r="1015" ht="20" customHeight="1" s="1">
      <c r="A1015" s="16" t="inlineStr">
        <is>
          <t>20063</t>
        </is>
      </c>
      <c r="B1015" s="17" t="inlineStr">
        <is>
          <t>Morfose</t>
        </is>
      </c>
      <c r="C1015" s="16" t="inlineStr">
        <is>
          <t>8681701007677</t>
        </is>
      </c>
      <c r="D1015" s="17" t="inlineStr">
        <is>
          <t>Ossion Barber Line 2/1 Cologn Istanbul Dream 400ml</t>
        </is>
      </c>
      <c r="E1015" s="18" t="n">
        <v>10.2</v>
      </c>
      <c r="F1015" s="18" t="n">
        <v>24</v>
      </c>
      <c r="G1015" s="18" t="n">
        <v>15</v>
      </c>
      <c r="H1015" s="18" t="n"/>
      <c r="I1015" s="18" t="n"/>
      <c r="J1015" s="18" t="n"/>
      <c r="K1015" s="19">
        <f>H1015+I1015+J1015</f>
        <v/>
      </c>
      <c r="L1015" s="19">
        <f>K1015-G1015</f>
        <v/>
      </c>
      <c r="M1015" s="20">
        <f>L1015*E1015</f>
        <v/>
      </c>
      <c r="N1015" s="20" t="n">
        <v>50</v>
      </c>
      <c r="O1015" s="20" t="n"/>
      <c r="P1015" s="20">
        <f>O1015-N1015</f>
        <v/>
      </c>
      <c r="Q1015" s="20">
        <f>P1015*E1015</f>
        <v/>
      </c>
      <c r="R1015" s="20" t="n"/>
    </row>
    <row r="1016" ht="20" customHeight="1" s="1">
      <c r="A1016" s="21" t="inlineStr">
        <is>
          <t>20064</t>
        </is>
      </c>
      <c r="B1016" s="22" t="inlineStr">
        <is>
          <t>Morfose</t>
        </is>
      </c>
      <c r="C1016" s="21" t="inlineStr">
        <is>
          <t>8681701007646</t>
        </is>
      </c>
      <c r="D1016" s="22" t="inlineStr">
        <is>
          <t>Ossion Barber Line 2/1 Cologn Domin Merengue 400ml</t>
        </is>
      </c>
      <c r="E1016" s="23" t="n">
        <v>10.2</v>
      </c>
      <c r="F1016" s="23" t="n">
        <v>24</v>
      </c>
      <c r="G1016" s="23" t="n">
        <v>22</v>
      </c>
      <c r="H1016" s="23" t="n"/>
      <c r="I1016" s="23" t="n"/>
      <c r="J1016" s="23" t="n"/>
      <c r="K1016" s="19">
        <f>H1016+I1016+J1016</f>
        <v/>
      </c>
      <c r="L1016" s="19">
        <f>K1016-G1016</f>
        <v/>
      </c>
      <c r="M1016" s="20">
        <f>L1016*E1016</f>
        <v/>
      </c>
      <c r="N1016" s="20" t="n">
        <v>50</v>
      </c>
      <c r="O1016" s="20" t="n"/>
      <c r="P1016" s="20">
        <f>O1016-N1016</f>
        <v/>
      </c>
      <c r="Q1016" s="20">
        <f>P1016*E1016</f>
        <v/>
      </c>
      <c r="R1016" s="20" t="n"/>
    </row>
    <row r="1017" ht="20" customHeight="1" s="1">
      <c r="A1017" s="16" t="inlineStr">
        <is>
          <t>20065</t>
        </is>
      </c>
      <c r="B1017" s="17" t="inlineStr">
        <is>
          <t>Morfose</t>
        </is>
      </c>
      <c r="C1017" s="16" t="inlineStr">
        <is>
          <t>8681701005451</t>
        </is>
      </c>
      <c r="D1017" s="17" t="inlineStr">
        <is>
          <t>Ossion Barber Line Tiras Sonrasi Balz Wave 300ml</t>
        </is>
      </c>
      <c r="E1017" s="18" t="n">
        <v>8.199999999999999</v>
      </c>
      <c r="F1017" s="18" t="n">
        <v>24</v>
      </c>
      <c r="G1017" s="18" t="n">
        <v>22</v>
      </c>
      <c r="H1017" s="18" t="n"/>
      <c r="I1017" s="18" t="n"/>
      <c r="J1017" s="18" t="n"/>
      <c r="K1017" s="19">
        <f>H1017+I1017+J1017</f>
        <v/>
      </c>
      <c r="L1017" s="19">
        <f>K1017-G1017</f>
        <v/>
      </c>
      <c r="M1017" s="20">
        <f>L1017*E1017</f>
        <v/>
      </c>
      <c r="N1017" s="20" t="n">
        <v>50</v>
      </c>
      <c r="O1017" s="20" t="n"/>
      <c r="P1017" s="20">
        <f>O1017-N1017</f>
        <v/>
      </c>
      <c r="Q1017" s="20">
        <f>P1017*E1017</f>
        <v/>
      </c>
      <c r="R1017" s="20" t="n"/>
    </row>
    <row r="1018" ht="20" customHeight="1" s="1">
      <c r="A1018" s="21" t="inlineStr">
        <is>
          <t>20066</t>
        </is>
      </c>
      <c r="B1018" s="22" t="inlineStr">
        <is>
          <t>Morfose</t>
        </is>
      </c>
      <c r="C1018" s="21" t="inlineStr">
        <is>
          <t>8681701005444</t>
        </is>
      </c>
      <c r="D1018" s="22" t="inlineStr">
        <is>
          <t>Ossion Barber Line Tiras Sonrasi Balz Impact 300ml</t>
        </is>
      </c>
      <c r="E1018" s="23" t="n">
        <v>8.199999999999999</v>
      </c>
      <c r="F1018" s="23" t="n">
        <v>24</v>
      </c>
      <c r="G1018" s="23" t="n">
        <v>13</v>
      </c>
      <c r="H1018" s="23" t="n"/>
      <c r="I1018" s="23" t="n"/>
      <c r="J1018" s="23" t="n"/>
      <c r="K1018" s="19">
        <f>H1018+I1018+J1018</f>
        <v/>
      </c>
      <c r="L1018" s="19">
        <f>K1018-G1018</f>
        <v/>
      </c>
      <c r="M1018" s="20">
        <f>L1018*E1018</f>
        <v/>
      </c>
      <c r="N1018" s="20" t="n">
        <v>50</v>
      </c>
      <c r="O1018" s="20" t="n"/>
      <c r="P1018" s="20">
        <f>O1018-N1018</f>
        <v/>
      </c>
      <c r="Q1018" s="20">
        <f>P1018*E1018</f>
        <v/>
      </c>
      <c r="R1018" s="20" t="n"/>
    </row>
    <row r="1019" ht="20" customHeight="1" s="1">
      <c r="A1019" s="16" t="inlineStr">
        <is>
          <t>20067</t>
        </is>
      </c>
      <c r="B1019" s="17" t="inlineStr">
        <is>
          <t>Morfose</t>
        </is>
      </c>
      <c r="C1019" s="16" t="inlineStr">
        <is>
          <t>8681701005468</t>
        </is>
      </c>
      <c r="D1019" s="17" t="inlineStr">
        <is>
          <t>Ossion Barber Line Tiras Sonrasi Balz Storm 300ml</t>
        </is>
      </c>
      <c r="E1019" s="18" t="n">
        <v>8.199999999999999</v>
      </c>
      <c r="F1019" s="18" t="n">
        <v>24</v>
      </c>
      <c r="G1019" s="18" t="n">
        <v>22</v>
      </c>
      <c r="H1019" s="18" t="n"/>
      <c r="I1019" s="18" t="n"/>
      <c r="J1019" s="18" t="n"/>
      <c r="K1019" s="19">
        <f>H1019+I1019+J1019</f>
        <v/>
      </c>
      <c r="L1019" s="19">
        <f>K1019-G1019</f>
        <v/>
      </c>
      <c r="M1019" s="20">
        <f>L1019*E1019</f>
        <v/>
      </c>
      <c r="N1019" s="20" t="n">
        <v>50</v>
      </c>
      <c r="O1019" s="20" t="n"/>
      <c r="P1019" s="20">
        <f>O1019-N1019</f>
        <v/>
      </c>
      <c r="Q1019" s="20">
        <f>P1019*E1019</f>
        <v/>
      </c>
      <c r="R1019" s="20" t="n"/>
    </row>
    <row r="1020" ht="20" customHeight="1" s="1">
      <c r="A1020" s="21" t="inlineStr">
        <is>
          <t>20069</t>
        </is>
      </c>
      <c r="B1020" s="22" t="inlineStr">
        <is>
          <t>Morfose</t>
        </is>
      </c>
      <c r="C1020" s="21" t="inlineStr">
        <is>
          <t>8681701002986</t>
        </is>
      </c>
      <c r="D1020" s="22" t="inlineStr">
        <is>
          <t>Ossion Barber Line Tiras Jeli 700ml</t>
        </is>
      </c>
      <c r="E1020" s="23" t="n">
        <v>9.5</v>
      </c>
      <c r="F1020" s="23" t="n">
        <v>12</v>
      </c>
      <c r="G1020" s="23" t="n">
        <v>48</v>
      </c>
      <c r="H1020" s="23" t="n"/>
      <c r="I1020" s="23" t="n"/>
      <c r="J1020" s="23" t="n"/>
      <c r="K1020" s="19">
        <f>H1020+I1020+J1020</f>
        <v/>
      </c>
      <c r="L1020" s="19">
        <f>K1020-G1020</f>
        <v/>
      </c>
      <c r="M1020" s="20">
        <f>L1020*E1020</f>
        <v/>
      </c>
      <c r="N1020" s="20" t="n">
        <v>50</v>
      </c>
      <c r="O1020" s="20" t="n"/>
      <c r="P1020" s="20">
        <f>O1020-N1020</f>
        <v/>
      </c>
      <c r="Q1020" s="20">
        <f>P1020*E1020</f>
        <v/>
      </c>
      <c r="R1020" s="20" t="n"/>
    </row>
    <row r="1021" ht="20" customHeight="1" s="1">
      <c r="A1021" s="16" t="inlineStr">
        <is>
          <t>20081</t>
        </is>
      </c>
      <c r="B1021" s="17" t="inlineStr">
        <is>
          <t>Morfose</t>
        </is>
      </c>
      <c r="C1021" s="16" t="inlineStr">
        <is>
          <t>8680678833623</t>
        </is>
      </c>
      <c r="D1021" s="17" t="inlineStr">
        <is>
          <t>Ossion Tiras Jeli 700ml</t>
        </is>
      </c>
      <c r="E1021" s="18" t="n">
        <v>9.4</v>
      </c>
      <c r="F1021" s="18" t="n">
        <v>12</v>
      </c>
      <c r="G1021" s="18" t="n">
        <v>1</v>
      </c>
      <c r="H1021" s="18" t="n"/>
      <c r="I1021" s="18" t="n"/>
      <c r="J1021" s="18" t="n"/>
      <c r="K1021" s="19" t="n"/>
      <c r="L1021" s="19" t="n"/>
      <c r="M1021" s="20" t="n"/>
      <c r="N1021" s="20" t="n">
        <v>50</v>
      </c>
      <c r="O1021" s="20" t="n"/>
      <c r="P1021" s="20">
        <f>O1021-N1021</f>
        <v/>
      </c>
      <c r="Q1021" s="20">
        <f>P1021*E1021</f>
        <v/>
      </c>
      <c r="R1021" s="20" t="n"/>
    </row>
    <row r="1022" ht="20" customHeight="1" s="1">
      <c r="A1022" s="21" t="inlineStr">
        <is>
          <t>20076</t>
        </is>
      </c>
      <c r="B1022" s="22" t="inlineStr">
        <is>
          <t>Morfose</t>
        </is>
      </c>
      <c r="C1022" s="21" t="inlineStr">
        <is>
          <t>8680678829572</t>
        </is>
      </c>
      <c r="D1022" s="22" t="inlineStr">
        <is>
          <t>Ossion Shampuan Amino Keratin 800ml</t>
        </is>
      </c>
      <c r="E1022" s="23" t="n">
        <v>13.1</v>
      </c>
      <c r="F1022" s="23" t="n">
        <v>12</v>
      </c>
      <c r="G1022" s="23" t="n">
        <v>24</v>
      </c>
      <c r="H1022" s="23" t="n"/>
      <c r="I1022" s="23" t="n"/>
      <c r="J1022" s="23" t="n"/>
      <c r="K1022" s="19" t="n"/>
      <c r="L1022" s="19" t="n"/>
      <c r="M1022" s="20" t="n"/>
      <c r="N1022" s="20" t="n">
        <v>50</v>
      </c>
      <c r="O1022" s="20" t="n"/>
      <c r="P1022" s="20">
        <f>O1022-N1022</f>
        <v/>
      </c>
      <c r="Q1022" s="20">
        <f>P1022*E1022</f>
        <v/>
      </c>
      <c r="R1022" s="20" t="n"/>
    </row>
    <row r="1023" ht="20" customHeight="1" s="1">
      <c r="A1023" s="16" t="inlineStr">
        <is>
          <t>20077</t>
        </is>
      </c>
      <c r="B1023" s="17" t="inlineStr">
        <is>
          <t>Morfose</t>
        </is>
      </c>
      <c r="C1023" s="16" t="inlineStr">
        <is>
          <t>8680678832008</t>
        </is>
      </c>
      <c r="D1023" s="17" t="inlineStr">
        <is>
          <t>Ossion Kondisyoner Amino Keratin 400ml</t>
        </is>
      </c>
      <c r="E1023" s="18" t="n">
        <v>13.1</v>
      </c>
      <c r="F1023" s="18" t="n">
        <v>24</v>
      </c>
      <c r="G1023" s="18" t="n">
        <v>26</v>
      </c>
      <c r="H1023" s="18" t="n"/>
      <c r="I1023" s="18" t="n"/>
      <c r="J1023" s="18" t="n"/>
      <c r="K1023" s="19">
        <f>H1023+I1023+J1023</f>
        <v/>
      </c>
      <c r="L1023" s="19">
        <f>K1023-G1023</f>
        <v/>
      </c>
      <c r="M1023" s="20">
        <f>L1023*E1023</f>
        <v/>
      </c>
      <c r="N1023" s="20" t="n">
        <v>50</v>
      </c>
      <c r="O1023" s="20" t="n"/>
      <c r="P1023" s="20">
        <f>O1023-N1023</f>
        <v/>
      </c>
      <c r="Q1023" s="20">
        <f>P1023*E1023</f>
        <v/>
      </c>
      <c r="R1023" s="20" t="n"/>
    </row>
    <row r="1024" ht="20" customHeight="1" s="1">
      <c r="A1024" s="21" t="inlineStr">
        <is>
          <t>20071</t>
        </is>
      </c>
      <c r="B1024" s="22" t="inlineStr">
        <is>
          <t>Morfose</t>
        </is>
      </c>
      <c r="C1024" s="21" t="inlineStr">
        <is>
          <t>8681701006120</t>
        </is>
      </c>
      <c r="D1024" s="22" t="inlineStr">
        <is>
          <t>Ossion Barber Briyantin 150ml</t>
        </is>
      </c>
      <c r="E1024" s="23" t="n">
        <v>5.3</v>
      </c>
      <c r="F1024" s="23" t="n">
        <v>48</v>
      </c>
      <c r="G1024" s="23" t="n">
        <v>0</v>
      </c>
      <c r="H1024" s="23" t="n"/>
      <c r="I1024" s="23" t="n"/>
      <c r="J1024" s="23" t="n"/>
      <c r="K1024" s="19">
        <f>H1024+I1024+J1024</f>
        <v/>
      </c>
      <c r="L1024" s="19">
        <f>K1024-G1024</f>
        <v/>
      </c>
      <c r="M1024" s="20">
        <f>L1024*E1024</f>
        <v/>
      </c>
      <c r="N1024" s="20" t="n">
        <v>50</v>
      </c>
      <c r="O1024" s="20" t="n"/>
      <c r="P1024" s="20">
        <f>O1024-N1024</f>
        <v/>
      </c>
      <c r="Q1024" s="20">
        <f>P1024*E1024</f>
        <v/>
      </c>
      <c r="R1024" s="20" t="n"/>
    </row>
    <row r="1025" ht="20" customHeight="1" s="1">
      <c r="A1025" s="16" t="inlineStr">
        <is>
          <t>20072</t>
        </is>
      </c>
      <c r="B1025" s="17" t="inlineStr">
        <is>
          <t>Morfose</t>
        </is>
      </c>
      <c r="C1025" s="16" t="inlineStr">
        <is>
          <t>8681701002931</t>
        </is>
      </c>
      <c r="D1025" s="17" t="inlineStr">
        <is>
          <t>Ossion Barber Hair&amp;Beard Kream Matte Wax 175ml</t>
        </is>
      </c>
      <c r="E1025" s="18" t="n">
        <v>5.3</v>
      </c>
      <c r="F1025" s="18" t="n">
        <v>48</v>
      </c>
      <c r="G1025" s="18" t="n">
        <v>35</v>
      </c>
      <c r="H1025" s="18" t="n"/>
      <c r="I1025" s="18" t="n"/>
      <c r="J1025" s="18" t="n"/>
      <c r="K1025" s="19">
        <f>H1025+I1025+J1025</f>
        <v/>
      </c>
      <c r="L1025" s="19">
        <f>K1025-G1025</f>
        <v/>
      </c>
      <c r="M1025" s="20">
        <f>L1025*E1025</f>
        <v/>
      </c>
      <c r="N1025" s="20" t="n">
        <v>50</v>
      </c>
      <c r="O1025" s="20" t="n"/>
      <c r="P1025" s="20">
        <f>O1025-N1025</f>
        <v/>
      </c>
      <c r="Q1025" s="20">
        <f>P1025*E1025</f>
        <v/>
      </c>
      <c r="R1025" s="20" t="n"/>
    </row>
    <row r="1026" ht="20" customHeight="1" s="1">
      <c r="A1026" s="21" t="inlineStr">
        <is>
          <t>20084</t>
        </is>
      </c>
      <c r="B1026" s="22" t="inlineStr">
        <is>
          <t>Morfose</t>
        </is>
      </c>
      <c r="C1026" s="21" t="inlineStr">
        <is>
          <t>8698655383450</t>
        </is>
      </c>
      <c r="D1026" s="22" t="inlineStr">
        <is>
          <t>Ossion Makyaj Sabitleyici Sprey 300ml</t>
        </is>
      </c>
      <c r="E1026" s="23" t="n">
        <v>9.5</v>
      </c>
      <c r="F1026" s="23" t="n">
        <v>24</v>
      </c>
      <c r="G1026" s="23" t="n">
        <v>6</v>
      </c>
      <c r="H1026" s="23" t="n"/>
      <c r="I1026" s="23" t="n"/>
      <c r="J1026" s="23" t="n"/>
      <c r="K1026" s="19" t="n"/>
      <c r="L1026" s="19" t="n"/>
      <c r="M1026" s="20" t="n"/>
      <c r="N1026" s="20" t="n">
        <v>50</v>
      </c>
      <c r="O1026" s="20" t="n"/>
      <c r="P1026" s="20">
        <f>O1026-N1026</f>
        <v/>
      </c>
      <c r="Q1026" s="20">
        <f>P1026*E1026</f>
        <v/>
      </c>
      <c r="R1026" s="20" t="n"/>
    </row>
    <row r="1027" ht="20" customHeight="1" s="1">
      <c r="A1027" s="16" t="inlineStr">
        <is>
          <t>20083</t>
        </is>
      </c>
      <c r="B1027" s="17" t="inlineStr">
        <is>
          <t>Morfose</t>
        </is>
      </c>
      <c r="C1027" s="16" t="inlineStr">
        <is>
          <t>8681701007455</t>
        </is>
      </c>
      <c r="D1027" s="17" t="inlineStr">
        <is>
          <t>Ossion Makyaj Sabitleyici Sprey 75ml</t>
        </is>
      </c>
      <c r="E1027" s="18" t="n">
        <v>4.9</v>
      </c>
      <c r="F1027" s="18" t="n">
        <v>24</v>
      </c>
      <c r="G1027" s="18" t="n">
        <v>14</v>
      </c>
      <c r="H1027" s="18" t="n"/>
      <c r="I1027" s="18" t="n"/>
      <c r="J1027" s="18" t="n"/>
      <c r="K1027" s="19" t="n"/>
      <c r="L1027" s="19" t="n"/>
      <c r="M1027" s="20" t="n"/>
      <c r="N1027" s="20" t="n">
        <v>50</v>
      </c>
      <c r="O1027" s="20" t="n"/>
      <c r="P1027" s="20">
        <f>O1027-N1027</f>
        <v/>
      </c>
      <c r="Q1027" s="20">
        <f>P1027*E1027</f>
        <v/>
      </c>
      <c r="R1027" s="20" t="n"/>
    </row>
    <row r="1028" ht="20" customHeight="1" s="1">
      <c r="A1028" s="21" t="inlineStr">
        <is>
          <t>20074</t>
        </is>
      </c>
      <c r="B1028" s="22" t="inlineStr">
        <is>
          <t>Morfose</t>
        </is>
      </c>
      <c r="C1028" s="21" t="inlineStr">
        <is>
          <t>8698655387021</t>
        </is>
      </c>
      <c r="D1028" s="22" t="inlineStr">
        <is>
          <t>Ossion Uz Temizleyici 200ml</t>
        </is>
      </c>
      <c r="E1028" s="23" t="n">
        <v>6.5</v>
      </c>
      <c r="F1028" s="23" t="n">
        <v>24</v>
      </c>
      <c r="G1028" s="23" t="n">
        <v>17</v>
      </c>
      <c r="H1028" s="23" t="n"/>
      <c r="I1028" s="23" t="n"/>
      <c r="J1028" s="23" t="n"/>
      <c r="K1028" s="19">
        <f>H1028+I1028+J1028</f>
        <v/>
      </c>
      <c r="L1028" s="19">
        <f>K1028-G1028</f>
        <v/>
      </c>
      <c r="M1028" s="20">
        <f>L1028*E1028</f>
        <v/>
      </c>
      <c r="N1028" s="20" t="n">
        <v>50</v>
      </c>
      <c r="O1028" s="20" t="n"/>
      <c r="P1028" s="20">
        <f>O1028-N1028</f>
        <v/>
      </c>
      <c r="Q1028" s="20">
        <f>P1028*E1028</f>
        <v/>
      </c>
      <c r="R1028" s="20" t="n"/>
    </row>
    <row r="1029" ht="20" customHeight="1" s="1">
      <c r="A1029" s="16" t="inlineStr">
        <is>
          <t>20809</t>
        </is>
      </c>
      <c r="B1029" s="17" t="inlineStr">
        <is>
          <t>Morfose</t>
        </is>
      </c>
      <c r="C1029" s="16" t="inlineStr">
        <is>
          <t>8698655387014</t>
        </is>
      </c>
      <c r="D1029" s="17" t="inlineStr">
        <is>
          <t>Ossion Sac Boyasi Temizleyici 200ml</t>
        </is>
      </c>
      <c r="E1029" s="18" t="n">
        <v>6.1</v>
      </c>
      <c r="F1029" s="18" t="n">
        <v>24</v>
      </c>
      <c r="G1029" s="18" t="n">
        <v>48</v>
      </c>
      <c r="H1029" s="18" t="n"/>
      <c r="I1029" s="18" t="n"/>
      <c r="J1029" s="18" t="n"/>
      <c r="K1029" s="19">
        <f>H1029+I1029+J1029</f>
        <v/>
      </c>
      <c r="L1029" s="19">
        <f>K1029-G1029</f>
        <v/>
      </c>
      <c r="M1029" s="20">
        <f>L1029*E1029</f>
        <v/>
      </c>
      <c r="N1029" s="20" t="n">
        <v>50</v>
      </c>
      <c r="O1029" s="20" t="n"/>
      <c r="P1029" s="20">
        <f>O1029-N1029</f>
        <v/>
      </c>
      <c r="Q1029" s="20">
        <f>P1029*E1029</f>
        <v/>
      </c>
      <c r="R1029" s="20" t="n"/>
    </row>
    <row r="1030" ht="20" customHeight="1" s="1">
      <c r="A1030" s="21" t="inlineStr">
        <is>
          <t>20075</t>
        </is>
      </c>
      <c r="B1030" s="22" t="inlineStr">
        <is>
          <t>Morfose</t>
        </is>
      </c>
      <c r="C1030" s="21" t="inlineStr">
        <is>
          <t>8681701005413</t>
        </is>
      </c>
      <c r="D1030" s="22" t="inlineStr">
        <is>
          <t>Ossion Amino Keratin Sac Kremi 200ml</t>
        </is>
      </c>
      <c r="E1030" s="23" t="n">
        <v>10.6</v>
      </c>
      <c r="F1030" s="23" t="n">
        <v>12</v>
      </c>
      <c r="G1030" s="23" t="n">
        <v>23</v>
      </c>
      <c r="H1030" s="23" t="n"/>
      <c r="I1030" s="23" t="n"/>
      <c r="J1030" s="23" t="n"/>
      <c r="K1030" s="19">
        <f>H1030+I1030+J1030</f>
        <v/>
      </c>
      <c r="L1030" s="19">
        <f>K1030-G1030</f>
        <v/>
      </c>
      <c r="M1030" s="20">
        <f>L1030*E1030</f>
        <v/>
      </c>
      <c r="N1030" s="20" t="n">
        <v>50</v>
      </c>
      <c r="O1030" s="20" t="n"/>
      <c r="P1030" s="20">
        <f>O1030-N1030</f>
        <v/>
      </c>
      <c r="Q1030" s="20">
        <f>P1030*E1030</f>
        <v/>
      </c>
      <c r="R1030" s="20" t="n"/>
    </row>
    <row r="1031" ht="20" customHeight="1" s="1">
      <c r="A1031" s="16" t="inlineStr">
        <is>
          <t>20078</t>
        </is>
      </c>
      <c r="B1031" s="17" t="inlineStr">
        <is>
          <t>Morfose</t>
        </is>
      </c>
      <c r="C1031" s="16" t="inlineStr">
        <is>
          <t>8699009429619</t>
        </is>
      </c>
      <c r="D1031" s="17" t="inlineStr">
        <is>
          <t>Ossion Matte Styling Wax 100ml</t>
        </is>
      </c>
      <c r="E1031" s="18" t="n">
        <v>5.4</v>
      </c>
      <c r="F1031" s="18" t="n">
        <v>48</v>
      </c>
      <c r="G1031" s="18" t="n">
        <v>368</v>
      </c>
      <c r="H1031" s="18" t="n"/>
      <c r="I1031" s="18" t="n"/>
      <c r="J1031" s="18" t="n"/>
      <c r="K1031" s="19">
        <f>H1031+I1031+J1031</f>
        <v/>
      </c>
      <c r="L1031" s="19">
        <f>K1031-G1031</f>
        <v/>
      </c>
      <c r="M1031" s="20">
        <f>L1031*E1031</f>
        <v/>
      </c>
      <c r="N1031" s="20" t="n">
        <v>50</v>
      </c>
      <c r="O1031" s="20" t="n"/>
      <c r="P1031" s="20">
        <f>O1031-N1031</f>
        <v/>
      </c>
      <c r="Q1031" s="20">
        <f>P1031*E1031</f>
        <v/>
      </c>
      <c r="R1031" s="20" t="n"/>
    </row>
    <row r="1032" ht="20" customHeight="1" s="1">
      <c r="A1032" s="21" t="inlineStr">
        <is>
          <t>20080</t>
        </is>
      </c>
      <c r="B1032" s="22" t="inlineStr">
        <is>
          <t>Morfose</t>
        </is>
      </c>
      <c r="C1032" s="21" t="inlineStr">
        <is>
          <t>8681701007400</t>
        </is>
      </c>
      <c r="D1032" s="22" t="inlineStr">
        <is>
          <t>Ossion Toz Wax 20qr</t>
        </is>
      </c>
      <c r="E1032" s="23" t="n">
        <v>9.300000000000001</v>
      </c>
      <c r="F1032" s="23" t="n">
        <v>48</v>
      </c>
      <c r="G1032" s="23" t="n">
        <v>34</v>
      </c>
      <c r="H1032" s="23" t="n"/>
      <c r="I1032" s="23" t="n"/>
      <c r="J1032" s="23" t="n"/>
      <c r="K1032" s="19">
        <f>H1032+I1032+J1032</f>
        <v/>
      </c>
      <c r="L1032" s="19">
        <f>K1032-G1032</f>
        <v/>
      </c>
      <c r="M1032" s="20">
        <f>L1032*E1032</f>
        <v/>
      </c>
      <c r="N1032" s="20" t="n">
        <v>50</v>
      </c>
      <c r="O1032" s="20" t="n"/>
      <c r="P1032" s="20">
        <f>O1032-N1032</f>
        <v/>
      </c>
      <c r="Q1032" s="20">
        <f>P1032*E1032</f>
        <v/>
      </c>
      <c r="R1032" s="20" t="n"/>
    </row>
    <row r="1033" ht="20" customHeight="1" s="1">
      <c r="A1033" s="16" t="inlineStr">
        <is>
          <t>20016</t>
        </is>
      </c>
      <c r="B1033" s="17" t="inlineStr">
        <is>
          <t>Morfose</t>
        </is>
      </c>
      <c r="C1033" s="16" t="inlineStr">
        <is>
          <t>8681701003082</t>
        </is>
      </c>
      <c r="D1033" s="17" t="inlineStr">
        <is>
          <t>Ossion Sac Serumu Arqan Oil E Vitamini 75ml</t>
        </is>
      </c>
      <c r="E1033" s="18" t="n">
        <v>10.8</v>
      </c>
      <c r="F1033" s="18" t="n">
        <v>48</v>
      </c>
      <c r="G1033" s="18" t="n">
        <v>42</v>
      </c>
      <c r="H1033" s="18" t="n"/>
      <c r="I1033" s="18" t="n"/>
      <c r="J1033" s="18" t="n"/>
      <c r="K1033" s="19">
        <f>H1033+I1033+J1033</f>
        <v/>
      </c>
      <c r="L1033" s="19">
        <f>K1033-G1033</f>
        <v/>
      </c>
      <c r="M1033" s="20">
        <f>L1033*E1033</f>
        <v/>
      </c>
      <c r="N1033" s="20" t="n">
        <v>50</v>
      </c>
      <c r="O1033" s="20" t="n"/>
      <c r="P1033" s="20">
        <f>O1033-N1033</f>
        <v/>
      </c>
      <c r="Q1033" s="20">
        <f>P1033*E1033</f>
        <v/>
      </c>
      <c r="R1033" s="20" t="n"/>
    </row>
    <row r="1034" ht="20" customHeight="1" s="1">
      <c r="A1034" s="21" t="inlineStr">
        <is>
          <t>20665</t>
        </is>
      </c>
      <c r="B1034" s="22" t="inlineStr">
        <is>
          <t>Morfose</t>
        </is>
      </c>
      <c r="C1034" s="21" t="inlineStr">
        <is>
          <t>8681701007851</t>
        </is>
      </c>
      <c r="D1034" s="22" t="inlineStr">
        <is>
          <t>Ossion B/L Instant hair color Amethst Purple 150ml</t>
        </is>
      </c>
      <c r="E1034" s="23" t="n">
        <v>12.7</v>
      </c>
      <c r="F1034" s="23" t="n">
        <v>48</v>
      </c>
      <c r="G1034" s="23" t="n">
        <v>43</v>
      </c>
      <c r="H1034" s="23" t="n"/>
      <c r="I1034" s="23" t="n"/>
      <c r="J1034" s="23" t="n"/>
      <c r="K1034" s="19">
        <f>H1034+I1034+J1034</f>
        <v/>
      </c>
      <c r="L1034" s="19">
        <f>K1034-G1034</f>
        <v/>
      </c>
      <c r="M1034" s="20">
        <f>L1034*E1034</f>
        <v/>
      </c>
      <c r="N1034" s="20" t="n">
        <v>50</v>
      </c>
      <c r="O1034" s="20" t="n"/>
      <c r="P1034" s="20">
        <f>O1034-N1034</f>
        <v/>
      </c>
      <c r="Q1034" s="20">
        <f>P1034*E1034</f>
        <v/>
      </c>
      <c r="R1034" s="20" t="n"/>
    </row>
    <row r="1035" ht="20" customHeight="1" s="1">
      <c r="A1035" s="16" t="inlineStr">
        <is>
          <t>20666</t>
        </is>
      </c>
      <c r="B1035" s="17" t="inlineStr">
        <is>
          <t>Morfose</t>
        </is>
      </c>
      <c r="C1035" s="16" t="inlineStr">
        <is>
          <t>8681701007837</t>
        </is>
      </c>
      <c r="D1035" s="17" t="inlineStr">
        <is>
          <t>Ossion B/L Instant hair color Cobalt Blue 150ml</t>
        </is>
      </c>
      <c r="E1035" s="18" t="n">
        <v>12.7</v>
      </c>
      <c r="F1035" s="18" t="n">
        <v>48</v>
      </c>
      <c r="G1035" s="18" t="n">
        <v>40</v>
      </c>
      <c r="H1035" s="18" t="n"/>
      <c r="I1035" s="18" t="n"/>
      <c r="J1035" s="18" t="n"/>
      <c r="K1035" s="19">
        <f>H1035+I1035+J1035</f>
        <v/>
      </c>
      <c r="L1035" s="19">
        <f>K1035-G1035</f>
        <v/>
      </c>
      <c r="M1035" s="20">
        <f>L1035*E1035</f>
        <v/>
      </c>
      <c r="N1035" s="20" t="n">
        <v>50</v>
      </c>
      <c r="O1035" s="20" t="n"/>
      <c r="P1035" s="20">
        <f>O1035-N1035</f>
        <v/>
      </c>
      <c r="Q1035" s="20">
        <f>P1035*E1035</f>
        <v/>
      </c>
      <c r="R1035" s="20" t="n"/>
    </row>
    <row r="1036" ht="20" customHeight="1" s="1">
      <c r="A1036" s="21" t="inlineStr">
        <is>
          <t>20667</t>
        </is>
      </c>
      <c r="B1036" s="22" t="inlineStr">
        <is>
          <t>Morfose</t>
        </is>
      </c>
      <c r="C1036" s="21" t="inlineStr">
        <is>
          <t>8681701007875</t>
        </is>
      </c>
      <c r="D1036" s="22" t="inlineStr">
        <is>
          <t>Ossion B/L Instant hair color Emerald Green 150ml</t>
        </is>
      </c>
      <c r="E1036" s="23" t="n">
        <v>12.7</v>
      </c>
      <c r="F1036" s="23" t="n">
        <v>48</v>
      </c>
      <c r="G1036" s="23" t="n">
        <v>38</v>
      </c>
      <c r="H1036" s="23" t="n"/>
      <c r="I1036" s="23" t="n"/>
      <c r="J1036" s="23" t="n"/>
      <c r="K1036" s="19">
        <f>H1036+I1036+J1036</f>
        <v/>
      </c>
      <c r="L1036" s="19">
        <f>K1036-G1036</f>
        <v/>
      </c>
      <c r="M1036" s="20">
        <f>L1036*E1036</f>
        <v/>
      </c>
      <c r="N1036" s="20" t="n">
        <v>50</v>
      </c>
      <c r="O1036" s="20" t="n"/>
      <c r="P1036" s="20">
        <f>O1036-N1036</f>
        <v/>
      </c>
      <c r="Q1036" s="20">
        <f>P1036*E1036</f>
        <v/>
      </c>
      <c r="R1036" s="20" t="n"/>
    </row>
    <row r="1037" ht="20" customHeight="1" s="1">
      <c r="A1037" s="16" t="inlineStr">
        <is>
          <t>20668</t>
        </is>
      </c>
      <c r="B1037" s="17" t="inlineStr">
        <is>
          <t>Morfose</t>
        </is>
      </c>
      <c r="C1037" s="16" t="inlineStr">
        <is>
          <t>8681701007844</t>
        </is>
      </c>
      <c r="D1037" s="17" t="inlineStr">
        <is>
          <t>Ossion B/L Instant hair color Coolest Silver 150ml</t>
        </is>
      </c>
      <c r="E1037" s="18" t="n">
        <v>12.7</v>
      </c>
      <c r="F1037" s="18" t="n">
        <v>48</v>
      </c>
      <c r="G1037" s="18" t="n">
        <v>39</v>
      </c>
      <c r="H1037" s="18" t="n"/>
      <c r="I1037" s="18" t="n"/>
      <c r="J1037" s="18" t="n"/>
      <c r="K1037" s="19" t="n"/>
      <c r="L1037" s="19" t="n"/>
      <c r="M1037" s="20" t="n"/>
      <c r="N1037" s="20" t="n">
        <v>50</v>
      </c>
      <c r="O1037" s="20" t="n"/>
      <c r="P1037" s="20">
        <f>O1037-N1037</f>
        <v/>
      </c>
      <c r="Q1037" s="20">
        <f>P1037*E1037</f>
        <v/>
      </c>
      <c r="R1037" s="20" t="n"/>
    </row>
    <row r="1038" ht="20" customHeight="1" s="1">
      <c r="A1038" s="21" t="inlineStr">
        <is>
          <t>20669</t>
        </is>
      </c>
      <c r="B1038" s="22" t="inlineStr">
        <is>
          <t>Morfose</t>
        </is>
      </c>
      <c r="C1038" s="21" t="inlineStr">
        <is>
          <t>8681701007899</t>
        </is>
      </c>
      <c r="D1038" s="22" t="inlineStr">
        <is>
          <t>Ossion B/L Instant hair color Dust Pink 150ml</t>
        </is>
      </c>
      <c r="E1038" s="23" t="n">
        <v>12.7</v>
      </c>
      <c r="F1038" s="23" t="n">
        <v>48</v>
      </c>
      <c r="G1038" s="23" t="n">
        <v>42</v>
      </c>
      <c r="H1038" s="23" t="n"/>
      <c r="I1038" s="23" t="n"/>
      <c r="J1038" s="23" t="n"/>
      <c r="K1038" s="19">
        <f>H1038+I1038+J1038</f>
        <v/>
      </c>
      <c r="L1038" s="19">
        <f>K1038-G1038</f>
        <v/>
      </c>
      <c r="M1038" s="20">
        <f>L1038*E1038</f>
        <v/>
      </c>
      <c r="N1038" s="20" t="n">
        <v>50</v>
      </c>
      <c r="O1038" s="20" t="n"/>
      <c r="P1038" s="20">
        <f>O1038-N1038</f>
        <v/>
      </c>
      <c r="Q1038" s="20">
        <f>P1038*E1038</f>
        <v/>
      </c>
      <c r="R1038" s="20" t="n"/>
    </row>
    <row r="1039" ht="20" customHeight="1" s="1">
      <c r="A1039" s="16" t="inlineStr">
        <is>
          <t>20670</t>
        </is>
      </c>
      <c r="B1039" s="17" t="inlineStr">
        <is>
          <t>Morfose</t>
        </is>
      </c>
      <c r="C1039" s="16" t="inlineStr">
        <is>
          <t>8681701007820</t>
        </is>
      </c>
      <c r="D1039" s="17" t="inlineStr">
        <is>
          <t>Ossion B/L Instant hair color Fire Red 150ml</t>
        </is>
      </c>
      <c r="E1039" s="18" t="n">
        <v>12.7</v>
      </c>
      <c r="F1039" s="18" t="n">
        <v>48</v>
      </c>
      <c r="G1039" s="18" t="n">
        <v>185</v>
      </c>
      <c r="H1039" s="18" t="n"/>
      <c r="I1039" s="18" t="n"/>
      <c r="J1039" s="18" t="n"/>
      <c r="K1039" s="19">
        <f>H1039+I1039+J1039</f>
        <v/>
      </c>
      <c r="L1039" s="19">
        <f>K1039-G1039</f>
        <v/>
      </c>
      <c r="M1039" s="20">
        <f>L1039*E1039</f>
        <v/>
      </c>
      <c r="N1039" s="20" t="n">
        <v>50</v>
      </c>
      <c r="O1039" s="20" t="n"/>
      <c r="P1039" s="20">
        <f>O1039-N1039</f>
        <v/>
      </c>
      <c r="Q1039" s="20">
        <f>P1039*E1039</f>
        <v/>
      </c>
      <c r="R1039" s="20" t="n"/>
    </row>
    <row r="1040" ht="20" customHeight="1" s="1">
      <c r="A1040" s="21" t="inlineStr">
        <is>
          <t>20671</t>
        </is>
      </c>
      <c r="B1040" s="22" t="inlineStr">
        <is>
          <t>Morfose</t>
        </is>
      </c>
      <c r="C1040" s="21" t="inlineStr">
        <is>
          <t>8681701007882</t>
        </is>
      </c>
      <c r="D1040" s="22" t="inlineStr">
        <is>
          <t>Ossion B/L Instant hair color Ivory White 150ml</t>
        </is>
      </c>
      <c r="E1040" s="23" t="n">
        <v>12.7</v>
      </c>
      <c r="F1040" s="23" t="n">
        <v>48</v>
      </c>
      <c r="G1040" s="23" t="n">
        <v>43</v>
      </c>
      <c r="H1040" s="23" t="n"/>
      <c r="I1040" s="23" t="n"/>
      <c r="J1040" s="23" t="n"/>
      <c r="K1040" s="19">
        <f>H1040+I1040+J1040</f>
        <v/>
      </c>
      <c r="L1040" s="19">
        <f>K1040-G1040</f>
        <v/>
      </c>
      <c r="M1040" s="20">
        <f>L1040*E1040</f>
        <v/>
      </c>
      <c r="N1040" s="20" t="n">
        <v>50</v>
      </c>
      <c r="O1040" s="20" t="n"/>
      <c r="P1040" s="20">
        <f>O1040-N1040</f>
        <v/>
      </c>
      <c r="Q1040" s="20">
        <f>P1040*E1040</f>
        <v/>
      </c>
      <c r="R1040" s="20" t="n"/>
    </row>
    <row r="1041" ht="20" customHeight="1" s="1">
      <c r="A1041" s="16" t="inlineStr">
        <is>
          <t>20672</t>
        </is>
      </c>
      <c r="B1041" s="17" t="inlineStr">
        <is>
          <t>Morfose</t>
        </is>
      </c>
      <c r="C1041" s="16" t="inlineStr">
        <is>
          <t>8681701007868</t>
        </is>
      </c>
      <c r="D1041" s="17" t="inlineStr">
        <is>
          <t>Ossion B/L Instant hair color Burst Yellow 150ml</t>
        </is>
      </c>
      <c r="E1041" s="18" t="n">
        <v>12.7</v>
      </c>
      <c r="F1041" s="18" t="n">
        <v>48</v>
      </c>
      <c r="G1041" s="18" t="n">
        <v>40</v>
      </c>
      <c r="H1041" s="18" t="n"/>
      <c r="I1041" s="18" t="n"/>
      <c r="J1041" s="18" t="n"/>
      <c r="K1041" s="19">
        <f>H1041+I1041+J1041</f>
        <v/>
      </c>
      <c r="L1041" s="19">
        <f>K1041-G1041</f>
        <v/>
      </c>
      <c r="M1041" s="20">
        <f>L1041*E1041</f>
        <v/>
      </c>
      <c r="N1041" s="20" t="n">
        <v>50</v>
      </c>
      <c r="O1041" s="20" t="n"/>
      <c r="P1041" s="20">
        <f>O1041-N1041</f>
        <v/>
      </c>
      <c r="Q1041" s="20">
        <f>P1041*E1041</f>
        <v/>
      </c>
      <c r="R1041" s="20" t="n"/>
    </row>
    <row r="1042" ht="20" customHeight="1" s="1">
      <c r="A1042" s="21" t="inlineStr">
        <is>
          <t>21028</t>
        </is>
      </c>
      <c r="B1042" s="22" t="inlineStr">
        <is>
          <t>Morfose</t>
        </is>
      </c>
      <c r="C1042" s="21" t="inlineStr">
        <is>
          <t>8699009441369</t>
        </is>
      </c>
      <c r="D1042" s="22" t="inlineStr">
        <is>
          <t>Ossion Hair Colour Wax Black 100ml</t>
        </is>
      </c>
      <c r="E1042" s="23" t="n">
        <v>6.6</v>
      </c>
      <c r="F1042" s="23" t="n">
        <v>48</v>
      </c>
      <c r="G1042" s="23" t="n">
        <v>44</v>
      </c>
      <c r="H1042" s="23" t="n"/>
      <c r="I1042" s="23" t="n"/>
      <c r="J1042" s="23" t="n"/>
      <c r="K1042" s="19">
        <f>H1042+I1042+J1042</f>
        <v/>
      </c>
      <c r="L1042" s="19">
        <f>K1042-G1042</f>
        <v/>
      </c>
      <c r="M1042" s="20">
        <f>L1042*E1042</f>
        <v/>
      </c>
      <c r="N1042" s="20" t="n">
        <v>50</v>
      </c>
      <c r="O1042" s="20" t="n"/>
      <c r="P1042" s="20">
        <f>O1042-N1042</f>
        <v/>
      </c>
      <c r="Q1042" s="20">
        <f>P1042*E1042</f>
        <v/>
      </c>
      <c r="R1042" s="20" t="n"/>
    </row>
    <row r="1043" ht="20" customHeight="1" s="1">
      <c r="A1043" s="16" t="inlineStr">
        <is>
          <t>21029</t>
        </is>
      </c>
      <c r="B1043" s="17" t="inlineStr">
        <is>
          <t>Morfose</t>
        </is>
      </c>
      <c r="C1043" s="16" t="inlineStr">
        <is>
          <t>8699009441413</t>
        </is>
      </c>
      <c r="D1043" s="17" t="inlineStr">
        <is>
          <t>Ossion Hair Colour Wax Gold 100ml</t>
        </is>
      </c>
      <c r="E1043" s="18" t="n">
        <v>6.6</v>
      </c>
      <c r="F1043" s="18" t="n">
        <v>48</v>
      </c>
      <c r="G1043" s="18" t="n">
        <v>44</v>
      </c>
      <c r="H1043" s="18" t="n"/>
      <c r="I1043" s="18" t="n"/>
      <c r="J1043" s="18" t="n"/>
      <c r="K1043" s="19">
        <f>H1043+I1043+J1043</f>
        <v/>
      </c>
      <c r="L1043" s="19">
        <f>K1043-G1043</f>
        <v/>
      </c>
      <c r="M1043" s="20">
        <f>L1043*E1043</f>
        <v/>
      </c>
      <c r="N1043" s="20" t="n">
        <v>50</v>
      </c>
      <c r="O1043" s="20" t="n"/>
      <c r="P1043" s="20">
        <f>O1043-N1043</f>
        <v/>
      </c>
      <c r="Q1043" s="20">
        <f>P1043*E1043</f>
        <v/>
      </c>
      <c r="R1043" s="20" t="n"/>
    </row>
    <row r="1044" ht="20" customHeight="1" s="1">
      <c r="A1044" s="21" t="inlineStr">
        <is>
          <t>21050</t>
        </is>
      </c>
      <c r="B1044" s="22" t="inlineStr">
        <is>
          <t>Morfose</t>
        </is>
      </c>
      <c r="C1044" s="21" t="inlineStr">
        <is>
          <t>8699009441383</t>
        </is>
      </c>
      <c r="D1044" s="22" t="inlineStr">
        <is>
          <t>Ossion Hair Colour Wax Blue 100ml</t>
        </is>
      </c>
      <c r="E1044" s="23" t="n">
        <v>6.6</v>
      </c>
      <c r="F1044" s="23" t="n">
        <v>48</v>
      </c>
      <c r="G1044" s="23" t="n">
        <v>44</v>
      </c>
      <c r="H1044" s="23" t="n"/>
      <c r="I1044" s="23" t="n"/>
      <c r="J1044" s="23" t="n"/>
      <c r="K1044" s="19">
        <f>H1044+I1044+J1044</f>
        <v/>
      </c>
      <c r="L1044" s="19">
        <f>K1044-G1044</f>
        <v/>
      </c>
      <c r="M1044" s="20">
        <f>L1044*E1044</f>
        <v/>
      </c>
      <c r="N1044" s="20" t="n">
        <v>50</v>
      </c>
      <c r="O1044" s="20" t="n"/>
      <c r="P1044" s="20">
        <f>O1044-N1044</f>
        <v/>
      </c>
      <c r="Q1044" s="20">
        <f>P1044*E1044</f>
        <v/>
      </c>
      <c r="R1044" s="20" t="n"/>
    </row>
    <row r="1045" ht="20" customHeight="1" s="1">
      <c r="A1045" s="16" t="inlineStr">
        <is>
          <t>21051</t>
        </is>
      </c>
      <c r="B1045" s="17" t="inlineStr">
        <is>
          <t>Morfose</t>
        </is>
      </c>
      <c r="C1045" s="16" t="inlineStr">
        <is>
          <t>8699009441376</t>
        </is>
      </c>
      <c r="D1045" s="17" t="inlineStr">
        <is>
          <t>Ossion Hair Colour Wax Pink 100ml</t>
        </is>
      </c>
      <c r="E1045" s="18" t="n">
        <v>6.6</v>
      </c>
      <c r="F1045" s="18" t="n">
        <v>48</v>
      </c>
      <c r="G1045" s="18" t="n">
        <v>44</v>
      </c>
      <c r="H1045" s="18" t="n"/>
      <c r="I1045" s="18" t="n"/>
      <c r="J1045" s="18" t="n"/>
      <c r="K1045" s="19">
        <f>H1045+I1045+J1045</f>
        <v/>
      </c>
      <c r="L1045" s="19">
        <f>K1045-G1045</f>
        <v/>
      </c>
      <c r="M1045" s="20">
        <f>L1045*E1045</f>
        <v/>
      </c>
      <c r="N1045" s="20" t="n">
        <v>50</v>
      </c>
      <c r="O1045" s="20" t="n"/>
      <c r="P1045" s="20">
        <f>O1045-N1045</f>
        <v/>
      </c>
      <c r="Q1045" s="20">
        <f>P1045*E1045</f>
        <v/>
      </c>
      <c r="R1045" s="20" t="n"/>
    </row>
    <row r="1046" ht="20" customHeight="1" s="1">
      <c r="A1046" s="21" t="inlineStr">
        <is>
          <t>21052</t>
        </is>
      </c>
      <c r="B1046" s="22" t="inlineStr">
        <is>
          <t>Morfose</t>
        </is>
      </c>
      <c r="C1046" s="21" t="inlineStr">
        <is>
          <t>8699009441390</t>
        </is>
      </c>
      <c r="D1046" s="22" t="inlineStr">
        <is>
          <t>Ossion Hair Colour Wax Purple 100ml</t>
        </is>
      </c>
      <c r="E1046" s="23" t="n">
        <v>6.6</v>
      </c>
      <c r="F1046" s="23" t="n">
        <v>48</v>
      </c>
      <c r="G1046" s="23" t="n">
        <v>44</v>
      </c>
      <c r="H1046" s="23" t="n"/>
      <c r="I1046" s="23" t="n"/>
      <c r="J1046" s="23" t="n"/>
      <c r="K1046" s="19">
        <f>H1046+I1046+J1046</f>
        <v/>
      </c>
      <c r="L1046" s="19">
        <f>K1046-G1046</f>
        <v/>
      </c>
      <c r="M1046" s="20">
        <f>L1046*E1046</f>
        <v/>
      </c>
      <c r="N1046" s="20" t="n">
        <v>50</v>
      </c>
      <c r="O1046" s="20" t="n"/>
      <c r="P1046" s="20">
        <f>O1046-N1046</f>
        <v/>
      </c>
      <c r="Q1046" s="20">
        <f>P1046*E1046</f>
        <v/>
      </c>
      <c r="R1046" s="20" t="n"/>
    </row>
    <row r="1047" ht="20" customHeight="1" s="1">
      <c r="A1047" s="16" t="inlineStr">
        <is>
          <t>21030</t>
        </is>
      </c>
      <c r="B1047" s="17" t="inlineStr">
        <is>
          <t>Morfose</t>
        </is>
      </c>
      <c r="C1047" s="16" t="inlineStr">
        <is>
          <t>8699009441406</t>
        </is>
      </c>
      <c r="D1047" s="17" t="inlineStr">
        <is>
          <t>Ossion Hair Colour Wax Silver 100ml</t>
        </is>
      </c>
      <c r="E1047" s="18" t="n">
        <v>6.6</v>
      </c>
      <c r="F1047" s="18" t="n">
        <v>48</v>
      </c>
      <c r="G1047" s="18" t="n">
        <v>44</v>
      </c>
      <c r="H1047" s="18" t="n"/>
      <c r="I1047" s="18" t="n"/>
      <c r="J1047" s="18" t="n"/>
      <c r="K1047" s="19">
        <f>H1047+I1047+J1047</f>
        <v/>
      </c>
      <c r="L1047" s="19">
        <f>K1047-G1047</f>
        <v/>
      </c>
      <c r="M1047" s="20">
        <f>L1047*E1047</f>
        <v/>
      </c>
      <c r="N1047" s="20" t="n">
        <v>50</v>
      </c>
      <c r="O1047" s="20" t="n"/>
      <c r="P1047" s="20">
        <f>O1047-N1047</f>
        <v/>
      </c>
      <c r="Q1047" s="20">
        <f>P1047*E1047</f>
        <v/>
      </c>
      <c r="R1047" s="20" t="n"/>
    </row>
    <row r="1048" ht="20" customHeight="1" s="1">
      <c r="A1048" s="21" t="inlineStr">
        <is>
          <t>20660</t>
        </is>
      </c>
      <c r="B1048" s="22" t="inlineStr">
        <is>
          <t>Morfose</t>
        </is>
      </c>
      <c r="C1048" s="21" t="inlineStr">
        <is>
          <t>8681701006540</t>
        </is>
      </c>
      <c r="D1048" s="22" t="inlineStr">
        <is>
          <t>Ossion Barber Gel hair color N1 Natural Black</t>
        </is>
      </c>
      <c r="E1048" s="23" t="n">
        <v>8.800000000000001</v>
      </c>
      <c r="F1048" s="23" t="n">
        <v>24</v>
      </c>
      <c r="G1048" s="23" t="n">
        <v>14</v>
      </c>
      <c r="H1048" s="23" t="n"/>
      <c r="I1048" s="23" t="n"/>
      <c r="J1048" s="23" t="n"/>
      <c r="K1048" s="19" t="n"/>
      <c r="L1048" s="19" t="n"/>
      <c r="M1048" s="20" t="n"/>
      <c r="N1048" s="20" t="n">
        <v>50</v>
      </c>
      <c r="O1048" s="20" t="n"/>
      <c r="P1048" s="20">
        <f>O1048-N1048</f>
        <v/>
      </c>
      <c r="Q1048" s="20">
        <f>P1048*E1048</f>
        <v/>
      </c>
      <c r="R1048" s="20" t="n"/>
    </row>
    <row r="1049" ht="20" customHeight="1" s="1">
      <c r="A1049" s="16" t="inlineStr">
        <is>
          <t>20664</t>
        </is>
      </c>
      <c r="B1049" s="17" t="inlineStr">
        <is>
          <t>Morfose</t>
        </is>
      </c>
      <c r="C1049" s="16" t="inlineStr">
        <is>
          <t>8681701006588</t>
        </is>
      </c>
      <c r="D1049" s="17" t="inlineStr">
        <is>
          <t>Ossion Barber Gel hair color N5 Light Brown</t>
        </is>
      </c>
      <c r="E1049" s="18" t="n">
        <v>8.800000000000001</v>
      </c>
      <c r="F1049" s="18" t="n">
        <v>24</v>
      </c>
      <c r="G1049" s="18" t="n">
        <v>17</v>
      </c>
      <c r="H1049" s="18" t="n"/>
      <c r="I1049" s="18" t="n"/>
      <c r="J1049" s="18" t="n"/>
      <c r="K1049" s="19">
        <f>H1049+I1049+J1049</f>
        <v/>
      </c>
      <c r="L1049" s="19">
        <f>K1049-G1049</f>
        <v/>
      </c>
      <c r="M1049" s="20">
        <f>L1049*E1049</f>
        <v/>
      </c>
      <c r="N1049" s="20" t="n">
        <v>50</v>
      </c>
      <c r="O1049" s="20" t="n"/>
      <c r="P1049" s="20">
        <f>O1049-N1049</f>
        <v/>
      </c>
      <c r="Q1049" s="20">
        <f>P1049*E1049</f>
        <v/>
      </c>
      <c r="R1049" s="20" t="n"/>
    </row>
    <row r="1050" ht="20" customHeight="1" s="1">
      <c r="A1050" s="21" t="inlineStr">
        <is>
          <t>10038</t>
        </is>
      </c>
      <c r="B1050" s="22" t="inlineStr">
        <is>
          <t>Ozden</t>
        </is>
      </c>
      <c r="C1050" s="21" t="inlineStr">
        <is>
          <t>8697422820594</t>
        </is>
      </c>
      <c r="D1050" s="22" t="inlineStr">
        <is>
          <t>VILO krem banka cerniy 60 ml</t>
        </is>
      </c>
      <c r="E1050" s="23" t="n">
        <v>1.6</v>
      </c>
      <c r="F1050" s="24" t="n">
        <v>96</v>
      </c>
      <c r="G1050" s="24" t="n">
        <v>731</v>
      </c>
      <c r="H1050" s="23" t="n"/>
      <c r="I1050" s="23" t="n"/>
      <c r="J1050" s="23" t="n"/>
      <c r="K1050" s="19" t="n"/>
      <c r="L1050" s="19" t="n"/>
      <c r="M1050" s="20" t="n"/>
      <c r="N1050" s="20" t="n">
        <v>50</v>
      </c>
      <c r="O1050" s="20" t="n">
        <v>50</v>
      </c>
      <c r="P1050" s="20">
        <f>O1050-N1050</f>
        <v/>
      </c>
      <c r="Q1050" s="20">
        <f>P1050*E1050</f>
        <v/>
      </c>
      <c r="R1050" s="20" t="inlineStr">
        <is>
          <t>Orxan</t>
        </is>
      </c>
    </row>
    <row r="1051" ht="20" customHeight="1" s="1">
      <c r="A1051" s="16" t="inlineStr">
        <is>
          <t>10074</t>
        </is>
      </c>
      <c r="B1051" s="17" t="inlineStr">
        <is>
          <t>Ozden</t>
        </is>
      </c>
      <c r="C1051" s="16" t="inlineStr">
        <is>
          <t>8697422820617</t>
        </is>
      </c>
      <c r="D1051" s="17" t="inlineStr">
        <is>
          <t>VILO krem banka koricn. 60 ml</t>
        </is>
      </c>
      <c r="E1051" s="18" t="n">
        <v>1.65</v>
      </c>
      <c r="F1051" s="25" t="n">
        <v>96</v>
      </c>
      <c r="G1051" s="25" t="n">
        <v>325</v>
      </c>
      <c r="H1051" s="18" t="n">
        <v>133</v>
      </c>
      <c r="I1051" s="18" t="n">
        <v>96</v>
      </c>
      <c r="J1051" s="18" t="n">
        <v>96</v>
      </c>
      <c r="K1051" s="19">
        <f>H1051+I1051+J1051</f>
        <v/>
      </c>
      <c r="L1051" s="19">
        <f>K1051-G1051</f>
        <v/>
      </c>
      <c r="M1051" s="20">
        <f>L1051*E1051</f>
        <v/>
      </c>
      <c r="N1051" s="20" t="n">
        <v>50</v>
      </c>
      <c r="O1051" s="20" t="n"/>
      <c r="P1051" s="20">
        <f>O1051-N1051</f>
        <v/>
      </c>
      <c r="Q1051" s="20">
        <f>P1051*E1051</f>
        <v/>
      </c>
      <c r="R1051" s="20" t="n"/>
    </row>
    <row r="1052" ht="20" customHeight="1" s="1">
      <c r="A1052" s="21" t="inlineStr">
        <is>
          <t>19485</t>
        </is>
      </c>
      <c r="B1052" s="22" t="inlineStr">
        <is>
          <t>Ozden</t>
        </is>
      </c>
      <c r="C1052" s="21" t="inlineStr">
        <is>
          <t>8697422820648</t>
        </is>
      </c>
      <c r="D1052" s="22" t="inlineStr">
        <is>
          <t>VILO krem banka Blue 60ml</t>
        </is>
      </c>
      <c r="E1052" s="23" t="n">
        <v>2.3</v>
      </c>
      <c r="F1052" s="24" t="n">
        <v>96</v>
      </c>
      <c r="G1052" s="24" t="n">
        <v>246</v>
      </c>
      <c r="H1052" s="23" t="n">
        <v>150</v>
      </c>
      <c r="I1052" s="23" t="n">
        <v>96</v>
      </c>
      <c r="J1052" s="23" t="n"/>
      <c r="K1052" s="19">
        <f>H1052+I1052+J1052</f>
        <v/>
      </c>
      <c r="L1052" s="19">
        <f>K1052-G1052</f>
        <v/>
      </c>
      <c r="M1052" s="20">
        <f>L1052*E1052</f>
        <v/>
      </c>
      <c r="N1052" s="20" t="n">
        <v>50</v>
      </c>
      <c r="O1052" s="20" t="n"/>
      <c r="P1052" s="20">
        <f>O1052-N1052</f>
        <v/>
      </c>
      <c r="Q1052" s="20">
        <f>P1052*E1052</f>
        <v/>
      </c>
      <c r="R1052" s="20" t="n"/>
    </row>
    <row r="1053" ht="20" customHeight="1" s="1">
      <c r="A1053" s="16" t="inlineStr">
        <is>
          <t>10017</t>
        </is>
      </c>
      <c r="B1053" s="17" t="inlineStr">
        <is>
          <t>Ozden</t>
        </is>
      </c>
      <c r="C1053" s="16" t="inlineStr">
        <is>
          <t>8697422826084</t>
        </is>
      </c>
      <c r="D1053" s="17" t="inlineStr">
        <is>
          <t>VILO Qubka (boyuk) cerniy</t>
        </is>
      </c>
      <c r="E1053" s="18" t="n">
        <v>1.65</v>
      </c>
      <c r="F1053" s="25" t="n">
        <v>96</v>
      </c>
      <c r="G1053" s="25" t="n">
        <v>381</v>
      </c>
      <c r="H1053" s="18" t="n">
        <v>192</v>
      </c>
      <c r="I1053" s="18" t="n">
        <v>189</v>
      </c>
      <c r="J1053" s="18" t="n"/>
      <c r="K1053" s="19">
        <f>H1053+I1053+J1053</f>
        <v/>
      </c>
      <c r="L1053" s="19">
        <f>K1053-G1053</f>
        <v/>
      </c>
      <c r="M1053" s="20">
        <f>L1053*E1053</f>
        <v/>
      </c>
      <c r="N1053" s="20" t="n">
        <v>50</v>
      </c>
      <c r="O1053" s="20" t="n"/>
      <c r="P1053" s="20">
        <f>O1053-N1053</f>
        <v/>
      </c>
      <c r="Q1053" s="20">
        <f>P1053*E1053</f>
        <v/>
      </c>
      <c r="R1053" s="20" t="n"/>
    </row>
    <row r="1054" ht="20" customHeight="1" s="1">
      <c r="A1054" s="21" t="inlineStr">
        <is>
          <t>10018</t>
        </is>
      </c>
      <c r="B1054" s="22" t="inlineStr">
        <is>
          <t>Ozden</t>
        </is>
      </c>
      <c r="C1054" s="21" t="inlineStr">
        <is>
          <t>8697422826060</t>
        </is>
      </c>
      <c r="D1054" s="22" t="inlineStr">
        <is>
          <t>VILO Qubka (boyuk) natural</t>
        </is>
      </c>
      <c r="E1054" s="23" t="n">
        <v>1.65</v>
      </c>
      <c r="F1054" s="24" t="n">
        <v>96</v>
      </c>
      <c r="G1054" s="24" t="n">
        <v>226</v>
      </c>
      <c r="H1054" s="23" t="n"/>
      <c r="I1054" s="23" t="n"/>
      <c r="J1054" s="23" t="n"/>
      <c r="K1054" s="19" t="n"/>
      <c r="L1054" s="19" t="n"/>
      <c r="M1054" s="20" t="n"/>
      <c r="N1054" s="20" t="n">
        <v>50</v>
      </c>
      <c r="O1054" s="20" t="n"/>
      <c r="P1054" s="20">
        <f>O1054-N1054</f>
        <v/>
      </c>
      <c r="Q1054" s="20">
        <f>P1054*E1054</f>
        <v/>
      </c>
      <c r="R1054" s="20" t="n"/>
    </row>
    <row r="1055" ht="20" customHeight="1" s="1">
      <c r="A1055" s="16" t="inlineStr">
        <is>
          <t>10067</t>
        </is>
      </c>
      <c r="B1055" s="17" t="inlineStr">
        <is>
          <t>Ozden</t>
        </is>
      </c>
      <c r="C1055" s="16" t="inlineStr">
        <is>
          <t>8697422820846</t>
        </is>
      </c>
      <c r="D1055" s="17" t="inlineStr">
        <is>
          <t>VILO qubka (orta) cerniy</t>
        </is>
      </c>
      <c r="E1055" s="18" t="n">
        <v>1.6</v>
      </c>
      <c r="F1055" s="25" t="n">
        <v>96</v>
      </c>
      <c r="G1055" s="25" t="n">
        <v>522</v>
      </c>
      <c r="H1055" s="18" t="n">
        <v>288</v>
      </c>
      <c r="I1055" s="18" t="n">
        <v>234</v>
      </c>
      <c r="J1055" s="18" t="n"/>
      <c r="K1055" s="19">
        <f>H1055+I1055+J1055</f>
        <v/>
      </c>
      <c r="L1055" s="19">
        <f>K1055-G1055</f>
        <v/>
      </c>
      <c r="M1055" s="20">
        <f>L1055*E1055</f>
        <v/>
      </c>
      <c r="N1055" s="20" t="n">
        <v>50</v>
      </c>
      <c r="O1055" s="20" t="n"/>
      <c r="P1055" s="20">
        <f>O1055-N1055</f>
        <v/>
      </c>
      <c r="Q1055" s="20">
        <f>P1055*E1055</f>
        <v/>
      </c>
      <c r="R1055" s="20" t="n"/>
    </row>
    <row r="1056" ht="20" customHeight="1" s="1">
      <c r="A1056" s="21" t="inlineStr">
        <is>
          <t>10064</t>
        </is>
      </c>
      <c r="B1056" s="22" t="inlineStr">
        <is>
          <t>Ozden</t>
        </is>
      </c>
      <c r="C1056" s="21" t="inlineStr">
        <is>
          <t>8697422821546</t>
        </is>
      </c>
      <c r="D1056" s="22" t="inlineStr">
        <is>
          <t>VILO qubka (orta) bescvet</t>
        </is>
      </c>
      <c r="E1056" s="23" t="n">
        <v>1.6</v>
      </c>
      <c r="F1056" s="24" t="n">
        <v>96</v>
      </c>
      <c r="G1056" s="24" t="n">
        <v>369</v>
      </c>
      <c r="H1056" s="23" t="n"/>
      <c r="I1056" s="23" t="n"/>
      <c r="J1056" s="23" t="n"/>
      <c r="K1056" s="19" t="n"/>
      <c r="L1056" s="19" t="n"/>
      <c r="M1056" s="20" t="n"/>
      <c r="N1056" s="20" t="n">
        <v>50</v>
      </c>
      <c r="O1056" s="20" t="n"/>
      <c r="P1056" s="20">
        <f>O1056-N1056</f>
        <v/>
      </c>
      <c r="Q1056" s="20">
        <f>P1056*E1056</f>
        <v/>
      </c>
      <c r="R1056" s="20" t="n"/>
    </row>
    <row r="1057" ht="20" customHeight="1" s="1">
      <c r="A1057" s="16" t="inlineStr">
        <is>
          <t>10082</t>
        </is>
      </c>
      <c r="B1057" s="17" t="inlineStr">
        <is>
          <t>Ozden</t>
        </is>
      </c>
      <c r="C1057" s="16" t="inlineStr">
        <is>
          <t>8697422825926</t>
        </is>
      </c>
      <c r="D1057" s="17" t="inlineStr">
        <is>
          <t>VILO qubka mini cerniy</t>
        </is>
      </c>
      <c r="E1057" s="18" t="n">
        <v>1.35</v>
      </c>
      <c r="F1057" s="25" t="n">
        <v>96</v>
      </c>
      <c r="G1057" s="25" t="n">
        <v>247</v>
      </c>
      <c r="H1057" s="18" t="n">
        <v>55</v>
      </c>
      <c r="I1057" s="18" t="n">
        <v>192</v>
      </c>
      <c r="J1057" s="18" t="n"/>
      <c r="K1057" s="19">
        <f>H1057+I1057+J1057</f>
        <v/>
      </c>
      <c r="L1057" s="19">
        <f>K1057-G1057</f>
        <v/>
      </c>
      <c r="M1057" s="20">
        <f>L1057*E1057</f>
        <v/>
      </c>
      <c r="N1057" s="20" t="n">
        <v>50</v>
      </c>
      <c r="O1057" s="20" t="n"/>
      <c r="P1057" s="20">
        <f>O1057-N1057</f>
        <v/>
      </c>
      <c r="Q1057" s="20">
        <f>P1057*E1057</f>
        <v/>
      </c>
      <c r="R1057" s="20" t="n"/>
    </row>
    <row r="1058" ht="20" customHeight="1" s="1">
      <c r="A1058" s="21" t="inlineStr">
        <is>
          <t>10053</t>
        </is>
      </c>
      <c r="B1058" s="22" t="inlineStr">
        <is>
          <t>Ozden</t>
        </is>
      </c>
      <c r="C1058" s="21" t="inlineStr">
        <is>
          <t>8697422825933</t>
        </is>
      </c>
      <c r="D1058" s="22" t="inlineStr">
        <is>
          <t>VILO qubka mini natural</t>
        </is>
      </c>
      <c r="E1058" s="23" t="n">
        <v>1.35</v>
      </c>
      <c r="F1058" s="24" t="n">
        <v>96</v>
      </c>
      <c r="G1058" s="24" t="n">
        <v>127</v>
      </c>
      <c r="H1058" s="23" t="n"/>
      <c r="I1058" s="23" t="n"/>
      <c r="J1058" s="23" t="n"/>
      <c r="K1058" s="19" t="n"/>
      <c r="L1058" s="19" t="n"/>
      <c r="M1058" s="20" t="n"/>
      <c r="N1058" s="20" t="n">
        <v>50</v>
      </c>
      <c r="O1058" s="20" t="n"/>
      <c r="P1058" s="20">
        <f>O1058-N1058</f>
        <v/>
      </c>
      <c r="Q1058" s="20">
        <f>P1058*E1058</f>
        <v/>
      </c>
      <c r="R1058" s="20" t="n"/>
    </row>
    <row r="1059" ht="20" customHeight="1" s="1">
      <c r="A1059" s="16" t="inlineStr">
        <is>
          <t>10136</t>
        </is>
      </c>
      <c r="B1059" s="17" t="inlineStr">
        <is>
          <t>Ozden</t>
        </is>
      </c>
      <c r="C1059" s="16" t="inlineStr">
        <is>
          <t>8697422826046</t>
        </is>
      </c>
      <c r="D1059" s="17" t="inlineStr">
        <is>
          <t>VILO qubka AUTO</t>
        </is>
      </c>
      <c r="E1059" s="18" t="n">
        <v>1.7</v>
      </c>
      <c r="F1059" s="25" t="n">
        <v>96</v>
      </c>
      <c r="G1059" s="25" t="n">
        <v>101</v>
      </c>
      <c r="H1059" s="18" t="n"/>
      <c r="I1059" s="18" t="n"/>
      <c r="J1059" s="18" t="n"/>
      <c r="K1059" s="19" t="n"/>
      <c r="L1059" s="19" t="n"/>
      <c r="M1059" s="20" t="n"/>
      <c r="N1059" s="20" t="n">
        <v>50</v>
      </c>
      <c r="O1059" s="20" t="n"/>
      <c r="P1059" s="20">
        <f>O1059-N1059</f>
        <v/>
      </c>
      <c r="Q1059" s="20">
        <f>P1059*E1059</f>
        <v/>
      </c>
      <c r="R1059" s="20" t="n"/>
    </row>
    <row r="1060" ht="20" customHeight="1" s="1">
      <c r="A1060" s="21" t="inlineStr">
        <is>
          <t>10771</t>
        </is>
      </c>
      <c r="B1060" s="22" t="inlineStr">
        <is>
          <t>Ozden</t>
        </is>
      </c>
      <c r="C1060" s="21" t="inlineStr">
        <is>
          <t>8697422825896</t>
        </is>
      </c>
      <c r="D1060" s="22" t="inlineStr">
        <is>
          <t>VILO Pena ocist.dila koji velyur nabuka 300 ml</t>
        </is>
      </c>
      <c r="E1060" s="23" t="n">
        <v>6.4</v>
      </c>
      <c r="F1060" s="24" t="n">
        <v>24</v>
      </c>
      <c r="G1060" s="24" t="n">
        <v>93</v>
      </c>
      <c r="H1060" s="23" t="n">
        <v>24</v>
      </c>
      <c r="I1060" s="23" t="n">
        <v>21</v>
      </c>
      <c r="J1060" s="23" t="n">
        <v>48</v>
      </c>
      <c r="K1060" s="19">
        <f>H1060+I1060+J1060</f>
        <v/>
      </c>
      <c r="L1060" s="19">
        <f>K1060-G1060</f>
        <v/>
      </c>
      <c r="M1060" s="20">
        <f>L1060*E1060</f>
        <v/>
      </c>
      <c r="N1060" s="20" t="n">
        <v>50</v>
      </c>
      <c r="O1060" s="20" t="n"/>
      <c r="P1060" s="20">
        <f>O1060-N1060</f>
        <v/>
      </c>
      <c r="Q1060" s="20">
        <f>P1060*E1060</f>
        <v/>
      </c>
      <c r="R1060" s="20" t="n"/>
    </row>
    <row r="1061" ht="20" customHeight="1" s="1">
      <c r="A1061" s="16" t="inlineStr">
        <is>
          <t>10152</t>
        </is>
      </c>
      <c r="B1061" s="17" t="inlineStr">
        <is>
          <t>Ozden</t>
        </is>
      </c>
      <c r="C1061" s="16" t="inlineStr">
        <is>
          <t>8697422821300</t>
        </is>
      </c>
      <c r="D1061" s="17" t="inlineStr">
        <is>
          <t>VILO Sprey kras.Zamshi 200 ml cerniy</t>
        </is>
      </c>
      <c r="E1061" s="18" t="n">
        <v>7.65</v>
      </c>
      <c r="F1061" s="25" t="n">
        <v>48</v>
      </c>
      <c r="G1061" s="25" t="n">
        <v>345</v>
      </c>
      <c r="H1061" s="18" t="n">
        <v>56</v>
      </c>
      <c r="I1061" s="18" t="n">
        <v>288</v>
      </c>
      <c r="J1061" s="18" t="n">
        <v>1</v>
      </c>
      <c r="K1061" s="19">
        <f>H1061+I1061+J1061</f>
        <v/>
      </c>
      <c r="L1061" s="19">
        <f>K1061-G1061</f>
        <v/>
      </c>
      <c r="M1061" s="20">
        <f>L1061*E1061</f>
        <v/>
      </c>
      <c r="N1061" s="20" t="n">
        <v>50</v>
      </c>
      <c r="O1061" s="20" t="n">
        <v>20</v>
      </c>
      <c r="P1061" s="20">
        <f>O1061-N1061</f>
        <v/>
      </c>
      <c r="Q1061" s="20">
        <f>P1061*E1061</f>
        <v/>
      </c>
      <c r="R1061" s="20" t="inlineStr">
        <is>
          <t>Perviz</t>
        </is>
      </c>
    </row>
    <row r="1062" ht="20" customHeight="1" s="1">
      <c r="A1062" s="21" t="inlineStr">
        <is>
          <t>10404</t>
        </is>
      </c>
      <c r="B1062" s="22" t="inlineStr">
        <is>
          <t>Ozden</t>
        </is>
      </c>
      <c r="C1062" s="21" t="inlineStr">
        <is>
          <t>8697422821317</t>
        </is>
      </c>
      <c r="D1062" s="22" t="inlineStr">
        <is>
          <t>VILO Sprey kras.Zamshi 200 ml koricn</t>
        </is>
      </c>
      <c r="E1062" s="23" t="n">
        <v>7.9</v>
      </c>
      <c r="F1062" s="24" t="n">
        <v>48</v>
      </c>
      <c r="G1062" s="24" t="n">
        <v>55</v>
      </c>
      <c r="H1062" s="23" t="n">
        <v>55</v>
      </c>
      <c r="I1062" s="23" t="n"/>
      <c r="J1062" s="23" t="n"/>
      <c r="K1062" s="19">
        <f>H1062+I1062+J1062</f>
        <v/>
      </c>
      <c r="L1062" s="19">
        <f>K1062-G1062</f>
        <v/>
      </c>
      <c r="M1062" s="20">
        <f>L1062*E1062</f>
        <v/>
      </c>
      <c r="N1062" s="20" t="n">
        <v>50</v>
      </c>
      <c r="O1062" s="20" t="n"/>
      <c r="P1062" s="20">
        <f>O1062-N1062</f>
        <v/>
      </c>
      <c r="Q1062" s="20">
        <f>P1062*E1062</f>
        <v/>
      </c>
      <c r="R1062" s="20" t="n"/>
    </row>
    <row r="1063" ht="20" customHeight="1" s="1">
      <c r="A1063" s="16" t="inlineStr">
        <is>
          <t>10253</t>
        </is>
      </c>
      <c r="B1063" s="17" t="inlineStr">
        <is>
          <t>Ozden</t>
        </is>
      </c>
      <c r="C1063" s="16" t="inlineStr">
        <is>
          <t>8697422821331</t>
        </is>
      </c>
      <c r="D1063" s="17" t="inlineStr">
        <is>
          <t>VILO Sprey kras.Zamshi 200 ml natural</t>
        </is>
      </c>
      <c r="E1063" s="18" t="n">
        <v>7.9</v>
      </c>
      <c r="F1063" s="25" t="n">
        <v>48</v>
      </c>
      <c r="G1063" s="25" t="n">
        <v>0</v>
      </c>
      <c r="H1063" s="18" t="n"/>
      <c r="I1063" s="18" t="n"/>
      <c r="J1063" s="18" t="n"/>
      <c r="K1063" s="19">
        <f>H1063+I1063+J1063</f>
        <v/>
      </c>
      <c r="L1063" s="19">
        <f>K1063-G1063</f>
        <v/>
      </c>
      <c r="M1063" s="20">
        <f>L1063*E1063</f>
        <v/>
      </c>
      <c r="N1063" s="20" t="n">
        <v>50</v>
      </c>
      <c r="O1063" s="20" t="n"/>
      <c r="P1063" s="20">
        <f>O1063-N1063</f>
        <v/>
      </c>
      <c r="Q1063" s="20">
        <f>P1063*E1063</f>
        <v/>
      </c>
      <c r="R1063" s="20" t="n"/>
    </row>
    <row r="1064" ht="20" customHeight="1" s="1">
      <c r="A1064" s="21" t="inlineStr">
        <is>
          <t>10081</t>
        </is>
      </c>
      <c r="B1064" s="22" t="inlineStr">
        <is>
          <t>Ozden</t>
        </is>
      </c>
      <c r="C1064" s="21" t="inlineStr">
        <is>
          <t>8697422822963</t>
        </is>
      </c>
      <c r="D1064" s="22" t="inlineStr">
        <is>
          <t>VILO Sprey kras.Zamshi&amp; nubuk 100ml cerniy</t>
        </is>
      </c>
      <c r="E1064" s="23" t="n">
        <v>5.65</v>
      </c>
      <c r="F1064" s="24" t="n">
        <v>48</v>
      </c>
      <c r="G1064" s="24" t="n">
        <v>271</v>
      </c>
      <c r="H1064" s="23" t="n"/>
      <c r="I1064" s="23" t="n"/>
      <c r="J1064" s="23" t="n"/>
      <c r="K1064" s="19" t="n"/>
      <c r="L1064" s="19" t="n"/>
      <c r="M1064" s="20" t="n"/>
      <c r="N1064" s="20" t="n">
        <v>50</v>
      </c>
      <c r="O1064" s="20" t="n"/>
      <c r="P1064" s="20">
        <f>O1064-N1064</f>
        <v/>
      </c>
      <c r="Q1064" s="20">
        <f>P1064*E1064</f>
        <v/>
      </c>
      <c r="R1064" s="20" t="n"/>
    </row>
    <row r="1065" ht="20" customHeight="1" s="1">
      <c r="A1065" s="16" t="inlineStr">
        <is>
          <t>10060</t>
        </is>
      </c>
      <c r="B1065" s="17" t="inlineStr">
        <is>
          <t>Ozden</t>
        </is>
      </c>
      <c r="C1065" s="16" t="inlineStr">
        <is>
          <t>8697422820860</t>
        </is>
      </c>
      <c r="D1065" s="17" t="inlineStr">
        <is>
          <t>VILO jidkoe kraska cerniy 80 ml</t>
        </is>
      </c>
      <c r="E1065" s="18" t="n">
        <v>1.9</v>
      </c>
      <c r="F1065" s="25" t="n">
        <v>48</v>
      </c>
      <c r="G1065" s="25" t="n">
        <v>193</v>
      </c>
      <c r="H1065" s="18" t="n">
        <v>97</v>
      </c>
      <c r="I1065" s="18" t="n">
        <v>96</v>
      </c>
      <c r="J1065" s="18" t="n"/>
      <c r="K1065" s="19">
        <f>H1065+I1065+J1065</f>
        <v/>
      </c>
      <c r="L1065" s="19">
        <f>K1065-G1065</f>
        <v/>
      </c>
      <c r="M1065" s="20">
        <f>L1065*E1065</f>
        <v/>
      </c>
      <c r="N1065" s="20" t="n">
        <v>50</v>
      </c>
      <c r="O1065" s="20" t="n"/>
      <c r="P1065" s="20">
        <f>O1065-N1065</f>
        <v/>
      </c>
      <c r="Q1065" s="20">
        <f>P1065*E1065</f>
        <v/>
      </c>
      <c r="R1065" s="20" t="n"/>
    </row>
    <row r="1066" ht="20" customHeight="1" s="1">
      <c r="A1066" s="21" t="inlineStr">
        <is>
          <t>10083</t>
        </is>
      </c>
      <c r="B1066" s="22" t="inlineStr">
        <is>
          <t>Ozden</t>
        </is>
      </c>
      <c r="C1066" s="21" t="inlineStr">
        <is>
          <t>8697422820884</t>
        </is>
      </c>
      <c r="D1066" s="22" t="inlineStr">
        <is>
          <t>VILO jidkoe kraska koricn 80 ml</t>
        </is>
      </c>
      <c r="E1066" s="23" t="n">
        <v>1.95</v>
      </c>
      <c r="F1066" s="24" t="n">
        <v>48</v>
      </c>
      <c r="G1066" s="24" t="n">
        <v>149</v>
      </c>
      <c r="H1066" s="23" t="n">
        <v>101</v>
      </c>
      <c r="I1066" s="23" t="n">
        <v>48</v>
      </c>
      <c r="J1066" s="23" t="n"/>
      <c r="K1066" s="19">
        <f>H1066+I1066+J1066</f>
        <v/>
      </c>
      <c r="L1066" s="19">
        <f>K1066-G1066</f>
        <v/>
      </c>
      <c r="M1066" s="20">
        <f>L1066*E1066</f>
        <v/>
      </c>
      <c r="N1066" s="20" t="n">
        <v>50</v>
      </c>
      <c r="O1066" s="20" t="n"/>
      <c r="P1066" s="20">
        <f>O1066-N1066</f>
        <v/>
      </c>
      <c r="Q1066" s="20">
        <f>P1066*E1066</f>
        <v/>
      </c>
      <c r="R1066" s="20" t="n"/>
    </row>
    <row r="1067" ht="20" customHeight="1" s="1">
      <c r="A1067" s="16" t="inlineStr">
        <is>
          <t>10085</t>
        </is>
      </c>
      <c r="B1067" s="17" t="inlineStr">
        <is>
          <t>Ozden</t>
        </is>
      </c>
      <c r="C1067" s="16" t="inlineStr">
        <is>
          <t>8697422820891</t>
        </is>
      </c>
      <c r="D1067" s="17" t="inlineStr">
        <is>
          <t>VILO jidkoe kraska neutral 80 ml</t>
        </is>
      </c>
      <c r="E1067" s="18" t="n">
        <v>1.8</v>
      </c>
      <c r="F1067" s="25" t="n">
        <v>48</v>
      </c>
      <c r="G1067" s="25" t="n">
        <v>68</v>
      </c>
      <c r="H1067" s="18" t="n">
        <v>48</v>
      </c>
      <c r="I1067" s="18" t="n">
        <v>18</v>
      </c>
      <c r="J1067" s="18" t="n">
        <v>2</v>
      </c>
      <c r="K1067" s="19">
        <f>H1067+I1067+J1067</f>
        <v/>
      </c>
      <c r="L1067" s="19">
        <f>K1067-G1067</f>
        <v/>
      </c>
      <c r="M1067" s="20">
        <f>L1067*E1067</f>
        <v/>
      </c>
      <c r="N1067" s="20" t="n">
        <v>50</v>
      </c>
      <c r="O1067" s="20" t="n"/>
      <c r="P1067" s="20">
        <f>O1067-N1067</f>
        <v/>
      </c>
      <c r="Q1067" s="20">
        <f>P1067*E1067</f>
        <v/>
      </c>
      <c r="R1067" s="20" t="n"/>
    </row>
    <row r="1068" ht="20" customHeight="1" s="1">
      <c r="A1068" s="21" t="inlineStr">
        <is>
          <t>10045</t>
        </is>
      </c>
      <c r="B1068" s="22" t="inlineStr">
        <is>
          <t>Ozden</t>
        </is>
      </c>
      <c r="C1068" s="21" t="n"/>
      <c r="D1068" s="22" t="inlineStr">
        <is>
          <t>VILO krem banka Black 60ml+Mini qupqa</t>
        </is>
      </c>
      <c r="E1068" s="23" t="n">
        <v>1.6</v>
      </c>
      <c r="F1068" s="24" t="n">
        <v>48</v>
      </c>
      <c r="G1068" s="24" t="n">
        <v>219</v>
      </c>
      <c r="H1068" s="23" t="n"/>
      <c r="I1068" s="23" t="n"/>
      <c r="J1068" s="23" t="n"/>
      <c r="K1068" s="19" t="n"/>
      <c r="L1068" s="19" t="n"/>
      <c r="M1068" s="20" t="n"/>
      <c r="N1068" s="20" t="n">
        <v>50</v>
      </c>
      <c r="O1068" s="20" t="n"/>
      <c r="P1068" s="20" t="n"/>
      <c r="Q1068" s="20" t="n"/>
      <c r="R1068" s="20" t="n"/>
    </row>
    <row r="1069" ht="20" customHeight="1" s="1">
      <c r="A1069" s="16" t="inlineStr">
        <is>
          <t>10027</t>
        </is>
      </c>
      <c r="B1069" s="17" t="inlineStr">
        <is>
          <t>Ozden</t>
        </is>
      </c>
      <c r="C1069" s="16" t="inlineStr">
        <is>
          <t>8697422821850</t>
        </is>
      </c>
      <c r="D1069" s="17" t="inlineStr">
        <is>
          <t>VILO krem 50 ml (plasmas qabda) qara</t>
        </is>
      </c>
      <c r="E1069" s="18" t="n">
        <v>2.65</v>
      </c>
      <c r="F1069" s="25" t="n">
        <v>48</v>
      </c>
      <c r="G1069" s="25" t="n">
        <v>460</v>
      </c>
      <c r="H1069" s="18" t="n"/>
      <c r="I1069" s="18" t="n"/>
      <c r="J1069" s="18" t="n"/>
      <c r="K1069" s="19" t="n"/>
      <c r="L1069" s="19" t="n"/>
      <c r="M1069" s="20" t="n"/>
      <c r="N1069" s="20" t="n">
        <v>50</v>
      </c>
      <c r="O1069" s="20" t="n">
        <v>55</v>
      </c>
      <c r="P1069" s="20">
        <f>O1069-N1069</f>
        <v/>
      </c>
      <c r="Q1069" s="20">
        <f>P1069*E1069</f>
        <v/>
      </c>
      <c r="R1069" s="20" t="n"/>
    </row>
    <row r="1070" ht="20" customHeight="1" s="1">
      <c r="A1070" s="21" t="inlineStr">
        <is>
          <t>10054</t>
        </is>
      </c>
      <c r="B1070" s="22" t="inlineStr">
        <is>
          <t>Ozden</t>
        </is>
      </c>
      <c r="C1070" s="21" t="inlineStr">
        <is>
          <t>8697422823540</t>
        </is>
      </c>
      <c r="D1070" s="22" t="inlineStr">
        <is>
          <t>VILO krem 50 ml (plasmas qabda) koricn</t>
        </is>
      </c>
      <c r="E1070" s="23" t="n">
        <v>2.75</v>
      </c>
      <c r="F1070" s="24" t="n">
        <v>48</v>
      </c>
      <c r="G1070" s="24" t="n">
        <v>155</v>
      </c>
      <c r="H1070" s="23" t="n">
        <v>151</v>
      </c>
      <c r="I1070" s="23" t="n">
        <v>1</v>
      </c>
      <c r="J1070" s="23" t="n">
        <v>3</v>
      </c>
      <c r="K1070" s="19">
        <f>H1070+I1070+J1070</f>
        <v/>
      </c>
      <c r="L1070" s="19">
        <f>K1070-G1070</f>
        <v/>
      </c>
      <c r="M1070" s="20">
        <f>L1070*E1070</f>
        <v/>
      </c>
      <c r="N1070" s="20" t="n">
        <v>50</v>
      </c>
      <c r="O1070" s="20" t="n"/>
      <c r="P1070" s="20">
        <f>O1070-N1070</f>
        <v/>
      </c>
      <c r="Q1070" s="20">
        <f>P1070*E1070</f>
        <v/>
      </c>
      <c r="R1070" s="20" t="n"/>
    </row>
    <row r="1071" ht="20" customHeight="1" s="1">
      <c r="A1071" s="16" t="inlineStr">
        <is>
          <t>12609</t>
        </is>
      </c>
      <c r="B1071" s="17" t="inlineStr">
        <is>
          <t>Ozden</t>
        </is>
      </c>
      <c r="C1071" s="16" t="inlineStr">
        <is>
          <t>8697422822826</t>
        </is>
      </c>
      <c r="D1071" s="17" t="inlineStr">
        <is>
          <t>VILO Gozlu qubka cerniy</t>
        </is>
      </c>
      <c r="E1071" s="18" t="n">
        <v>4.1</v>
      </c>
      <c r="F1071" s="25" t="n">
        <v>48</v>
      </c>
      <c r="G1071" s="25" t="n">
        <v>131</v>
      </c>
      <c r="H1071" s="18" t="n">
        <v>83</v>
      </c>
      <c r="I1071" s="18" t="n">
        <v>48</v>
      </c>
      <c r="J1071" s="18" t="n"/>
      <c r="K1071" s="19">
        <f>H1071+I1071+J1071</f>
        <v/>
      </c>
      <c r="L1071" s="19">
        <f>K1071-G1071</f>
        <v/>
      </c>
      <c r="M1071" s="20">
        <f>L1071*E1071</f>
        <v/>
      </c>
      <c r="N1071" s="20" t="n">
        <v>50</v>
      </c>
      <c r="O1071" s="20" t="n"/>
      <c r="P1071" s="20">
        <f>O1071-N1071</f>
        <v/>
      </c>
      <c r="Q1071" s="20">
        <f>P1071*E1071</f>
        <v/>
      </c>
      <c r="R1071" s="20" t="n"/>
    </row>
    <row r="1072" ht="20" customHeight="1" s="1">
      <c r="A1072" s="21" t="inlineStr">
        <is>
          <t>10174</t>
        </is>
      </c>
      <c r="B1072" s="22" t="inlineStr">
        <is>
          <t>Ozden</t>
        </is>
      </c>
      <c r="C1072" s="21" t="inlineStr">
        <is>
          <t>8697422823021</t>
        </is>
      </c>
      <c r="D1072" s="22" t="inlineStr">
        <is>
          <t>VILO Gozlu qubka bescvetniy</t>
        </is>
      </c>
      <c r="E1072" s="23" t="n">
        <v>4.1</v>
      </c>
      <c r="F1072" s="24" t="n">
        <v>48</v>
      </c>
      <c r="G1072" s="24" t="n">
        <v>68</v>
      </c>
      <c r="H1072" s="23" t="n">
        <v>68</v>
      </c>
      <c r="I1072" s="23" t="n"/>
      <c r="J1072" s="23" t="n"/>
      <c r="K1072" s="19">
        <f>H1072+I1072+J1072</f>
        <v/>
      </c>
      <c r="L1072" s="19">
        <f>K1072-G1072</f>
        <v/>
      </c>
      <c r="M1072" s="20">
        <f>L1072*E1072</f>
        <v/>
      </c>
      <c r="N1072" s="20" t="n">
        <v>50</v>
      </c>
      <c r="O1072" s="20" t="n"/>
      <c r="P1072" s="20">
        <f>O1072-N1072</f>
        <v/>
      </c>
      <c r="Q1072" s="20">
        <f>P1072*E1072</f>
        <v/>
      </c>
      <c r="R1072" s="20" t="n"/>
    </row>
    <row r="1073" ht="20" customHeight="1" s="1">
      <c r="A1073" s="16" t="inlineStr">
        <is>
          <t>10183</t>
        </is>
      </c>
      <c r="B1073" s="17" t="inlineStr">
        <is>
          <t>Ozden</t>
        </is>
      </c>
      <c r="C1073" s="16" t="inlineStr">
        <is>
          <t>8697422822062</t>
        </is>
      </c>
      <c r="D1073" s="17" t="inlineStr">
        <is>
          <t>Osvejitel FLAMINQO 350 ml Lemon</t>
        </is>
      </c>
      <c r="E1073" s="18" t="n">
        <v>3.45</v>
      </c>
      <c r="F1073" s="25" t="n">
        <v>48</v>
      </c>
      <c r="G1073" s="25" t="n">
        <v>105</v>
      </c>
      <c r="H1073" s="18" t="n"/>
      <c r="I1073" s="18" t="n"/>
      <c r="J1073" s="18" t="n"/>
      <c r="K1073" s="19" t="n"/>
      <c r="L1073" s="19" t="n"/>
      <c r="M1073" s="20" t="n"/>
      <c r="N1073" s="20" t="n">
        <v>50</v>
      </c>
      <c r="O1073" s="20" t="n"/>
      <c r="P1073" s="20">
        <f>O1073-N1073</f>
        <v/>
      </c>
      <c r="Q1073" s="20">
        <f>P1073*E1073</f>
        <v/>
      </c>
      <c r="R1073" s="20" t="n"/>
    </row>
    <row r="1074" ht="20" customHeight="1" s="1">
      <c r="A1074" s="21" t="inlineStr">
        <is>
          <t>10016</t>
        </is>
      </c>
      <c r="B1074" s="22" t="inlineStr">
        <is>
          <t>Ozden</t>
        </is>
      </c>
      <c r="C1074" s="21" t="inlineStr">
        <is>
          <t>8697422826558</t>
        </is>
      </c>
      <c r="D1074" s="22" t="inlineStr">
        <is>
          <t>Osvejitel FLAMINQO 350 ml After rain</t>
        </is>
      </c>
      <c r="E1074" s="23" t="n">
        <v>3.45</v>
      </c>
      <c r="F1074" s="24" t="n">
        <v>48</v>
      </c>
      <c r="G1074" s="24" t="n">
        <v>365</v>
      </c>
      <c r="H1074" s="23" t="n"/>
      <c r="I1074" s="23" t="n"/>
      <c r="J1074" s="23" t="n"/>
      <c r="K1074" s="19" t="n"/>
      <c r="L1074" s="19" t="n"/>
      <c r="M1074" s="20" t="n"/>
      <c r="N1074" s="20" t="n">
        <v>50</v>
      </c>
      <c r="O1074" s="20" t="n"/>
      <c r="P1074" s="20">
        <f>O1074-N1074</f>
        <v/>
      </c>
      <c r="Q1074" s="20">
        <f>P1074*E1074</f>
        <v/>
      </c>
      <c r="R1074" s="20" t="n"/>
    </row>
    <row r="1075" ht="20" customHeight="1" s="1">
      <c r="A1075" s="16" t="inlineStr">
        <is>
          <t>10270</t>
        </is>
      </c>
      <c r="B1075" s="17" t="inlineStr">
        <is>
          <t>Ozden</t>
        </is>
      </c>
      <c r="C1075" s="16" t="inlineStr">
        <is>
          <t>8697422822079</t>
        </is>
      </c>
      <c r="D1075" s="17" t="inlineStr">
        <is>
          <t>Osvejitel FLAMINQO 350 ml Lavander</t>
        </is>
      </c>
      <c r="E1075" s="18" t="n">
        <v>3.45</v>
      </c>
      <c r="F1075" s="25" t="n">
        <v>48</v>
      </c>
      <c r="G1075" s="25" t="n">
        <v>141</v>
      </c>
      <c r="H1075" s="18" t="n">
        <v>138</v>
      </c>
      <c r="I1075" s="18" t="n">
        <v>3</v>
      </c>
      <c r="J1075" s="18" t="n"/>
      <c r="K1075" s="19">
        <f>H1075+I1075+J1075</f>
        <v/>
      </c>
      <c r="L1075" s="19">
        <f>K1075-G1075</f>
        <v/>
      </c>
      <c r="M1075" s="20">
        <f>L1075*E1075</f>
        <v/>
      </c>
      <c r="N1075" s="20" t="n">
        <v>50</v>
      </c>
      <c r="O1075" s="20" t="n"/>
      <c r="P1075" s="20">
        <f>O1075-N1075</f>
        <v/>
      </c>
      <c r="Q1075" s="20">
        <f>P1075*E1075</f>
        <v/>
      </c>
      <c r="R1075" s="20" t="n"/>
    </row>
    <row r="1076" ht="20" customHeight="1" s="1">
      <c r="A1076" s="21" t="inlineStr">
        <is>
          <t>10206</t>
        </is>
      </c>
      <c r="B1076" s="22" t="inlineStr">
        <is>
          <t>Ozden</t>
        </is>
      </c>
      <c r="C1076" s="21" t="inlineStr">
        <is>
          <t>8697422826824</t>
        </is>
      </c>
      <c r="D1076" s="22" t="inlineStr">
        <is>
          <t>Osvejitel FLAMINQO 350 ml Berry Mix</t>
        </is>
      </c>
      <c r="E1076" s="23" t="n">
        <v>3.45</v>
      </c>
      <c r="F1076" s="24" t="n">
        <v>48</v>
      </c>
      <c r="G1076" s="24" t="n">
        <v>108</v>
      </c>
      <c r="H1076" s="23" t="n"/>
      <c r="I1076" s="23" t="n"/>
      <c r="J1076" s="23" t="n"/>
      <c r="K1076" s="19" t="n"/>
      <c r="L1076" s="19" t="n"/>
      <c r="M1076" s="20" t="n"/>
      <c r="N1076" s="20" t="n">
        <v>50</v>
      </c>
      <c r="O1076" s="20" t="n"/>
      <c r="P1076" s="20">
        <f>O1076-N1076</f>
        <v/>
      </c>
      <c r="Q1076" s="20">
        <f>P1076*E1076</f>
        <v/>
      </c>
      <c r="R1076" s="20" t="n"/>
    </row>
    <row r="1077" ht="20" customHeight="1" s="1">
      <c r="A1077" s="16" t="inlineStr">
        <is>
          <t>10189</t>
        </is>
      </c>
      <c r="B1077" s="17" t="inlineStr">
        <is>
          <t>Ozden</t>
        </is>
      </c>
      <c r="C1077" s="16" t="inlineStr">
        <is>
          <t>8697422822086</t>
        </is>
      </c>
      <c r="D1077" s="17" t="inlineStr">
        <is>
          <t>Osvejitel FLAMINQO 350 ml Lilak</t>
        </is>
      </c>
      <c r="E1077" s="18" t="n">
        <v>3.45</v>
      </c>
      <c r="F1077" s="25" t="n">
        <v>48</v>
      </c>
      <c r="G1077" s="25" t="n">
        <v>158</v>
      </c>
      <c r="H1077" s="18" t="n">
        <v>156</v>
      </c>
      <c r="I1077" s="18" t="n">
        <v>1</v>
      </c>
      <c r="J1077" s="18" t="n">
        <v>1</v>
      </c>
      <c r="K1077" s="19">
        <f>H1077+I1077+J1077</f>
        <v/>
      </c>
      <c r="L1077" s="19">
        <f>K1077-G1077</f>
        <v/>
      </c>
      <c r="M1077" s="20">
        <f>L1077*E1077</f>
        <v/>
      </c>
      <c r="N1077" s="20" t="n">
        <v>50</v>
      </c>
      <c r="O1077" s="20" t="n"/>
      <c r="P1077" s="20">
        <f>O1077-N1077</f>
        <v/>
      </c>
      <c r="Q1077" s="20">
        <f>P1077*E1077</f>
        <v/>
      </c>
      <c r="R1077" s="20" t="n"/>
    </row>
    <row r="1078" ht="20" customHeight="1" s="1">
      <c r="A1078" s="21" t="inlineStr">
        <is>
          <t>10250</t>
        </is>
      </c>
      <c r="B1078" s="22" t="inlineStr">
        <is>
          <t>Ozden</t>
        </is>
      </c>
      <c r="C1078" s="21" t="inlineStr">
        <is>
          <t>8697422822116</t>
        </is>
      </c>
      <c r="D1078" s="22" t="inlineStr">
        <is>
          <t>Osvejitel FLAMINQO 350 ml Antitabak</t>
        </is>
      </c>
      <c r="E1078" s="23" t="n">
        <v>3.45</v>
      </c>
      <c r="F1078" s="24" t="n">
        <v>48</v>
      </c>
      <c r="G1078" s="24" t="n">
        <v>535</v>
      </c>
      <c r="H1078" s="23" t="n"/>
      <c r="I1078" s="23" t="n"/>
      <c r="J1078" s="23" t="n"/>
      <c r="K1078" s="19" t="n"/>
      <c r="L1078" s="19" t="n"/>
      <c r="M1078" s="20" t="n"/>
      <c r="N1078" s="20" t="n">
        <v>50</v>
      </c>
      <c r="O1078" s="20" t="n"/>
      <c r="P1078" s="20">
        <f>O1078-N1078</f>
        <v/>
      </c>
      <c r="Q1078" s="20">
        <f>P1078*E1078</f>
        <v/>
      </c>
      <c r="R1078" s="20" t="n"/>
    </row>
    <row r="1079" ht="20" customHeight="1" s="1">
      <c r="A1079" s="16" t="inlineStr">
        <is>
          <t>10284</t>
        </is>
      </c>
      <c r="B1079" s="17" t="inlineStr">
        <is>
          <t>Ozden</t>
        </is>
      </c>
      <c r="C1079" s="16" t="inlineStr">
        <is>
          <t>8697422826589</t>
        </is>
      </c>
      <c r="D1079" s="17" t="inlineStr">
        <is>
          <t>Osvejitel FLAMINQO 350 ml Landis</t>
        </is>
      </c>
      <c r="E1079" s="18" t="n">
        <v>3.45</v>
      </c>
      <c r="F1079" s="25" t="n">
        <v>48</v>
      </c>
      <c r="G1079" s="25" t="n">
        <v>395</v>
      </c>
      <c r="H1079" s="18" t="n">
        <v>393</v>
      </c>
      <c r="I1079" s="18" t="n">
        <v>2</v>
      </c>
      <c r="J1079" s="18" t="n"/>
      <c r="K1079" s="19">
        <f>H1079+I1079+J1079</f>
        <v/>
      </c>
      <c r="L1079" s="19">
        <f>K1079-G1079</f>
        <v/>
      </c>
      <c r="M1079" s="20">
        <f>L1079*E1079</f>
        <v/>
      </c>
      <c r="N1079" s="20" t="n">
        <v>50</v>
      </c>
      <c r="O1079" s="20" t="n"/>
      <c r="P1079" s="20">
        <f>O1079-N1079</f>
        <v/>
      </c>
      <c r="Q1079" s="20">
        <f>P1079*E1079</f>
        <v/>
      </c>
      <c r="R1079" s="20" t="n"/>
    </row>
    <row r="1080" ht="20" customHeight="1" s="1">
      <c r="A1080" s="21" t="inlineStr">
        <is>
          <t>10327</t>
        </is>
      </c>
      <c r="B1080" s="22" t="inlineStr">
        <is>
          <t>Ozden</t>
        </is>
      </c>
      <c r="C1080" s="21" t="inlineStr">
        <is>
          <t>8697422822109</t>
        </is>
      </c>
      <c r="D1080" s="22" t="inlineStr">
        <is>
          <t>Osvejitel FLAMINQO 350 ml Vanila</t>
        </is>
      </c>
      <c r="E1080" s="23" t="n">
        <v>3.45</v>
      </c>
      <c r="F1080" s="24" t="n">
        <v>48</v>
      </c>
      <c r="G1080" s="24" t="n">
        <v>393</v>
      </c>
      <c r="H1080" s="23" t="n">
        <v>336</v>
      </c>
      <c r="I1080" s="23" t="n">
        <v>57</v>
      </c>
      <c r="J1080" s="23" t="n"/>
      <c r="K1080" s="19">
        <f>H1080+I1080+J1080</f>
        <v/>
      </c>
      <c r="L1080" s="19">
        <f>K1080-G1080</f>
        <v/>
      </c>
      <c r="M1080" s="20">
        <f>L1080*E1080</f>
        <v/>
      </c>
      <c r="N1080" s="20" t="n">
        <v>50</v>
      </c>
      <c r="O1080" s="20" t="n"/>
      <c r="P1080" s="20">
        <f>O1080-N1080</f>
        <v/>
      </c>
      <c r="Q1080" s="20">
        <f>P1080*E1080</f>
        <v/>
      </c>
      <c r="R1080" s="20" t="n"/>
    </row>
    <row r="1081" ht="20" customHeight="1" s="1">
      <c r="A1081" s="16" t="inlineStr">
        <is>
          <t>10120</t>
        </is>
      </c>
      <c r="B1081" s="17" t="inlineStr">
        <is>
          <t>Ozden</t>
        </is>
      </c>
      <c r="C1081" s="16" t="inlineStr">
        <is>
          <t>8697422822055</t>
        </is>
      </c>
      <c r="D1081" s="17" t="inlineStr">
        <is>
          <t>Osvejitel FLAMINQO 350 ml Okean</t>
        </is>
      </c>
      <c r="E1081" s="18" t="n">
        <v>3.45</v>
      </c>
      <c r="F1081" s="25" t="n">
        <v>48</v>
      </c>
      <c r="G1081" s="25" t="n">
        <v>312</v>
      </c>
      <c r="H1081" s="18" t="n"/>
      <c r="I1081" s="18" t="n"/>
      <c r="J1081" s="18" t="n"/>
      <c r="K1081" s="19" t="n"/>
      <c r="L1081" s="19" t="n"/>
      <c r="M1081" s="20" t="n"/>
      <c r="N1081" s="20" t="n">
        <v>50</v>
      </c>
      <c r="O1081" s="20" t="n"/>
      <c r="P1081" s="20">
        <f>O1081-N1081</f>
        <v/>
      </c>
      <c r="Q1081" s="20">
        <f>P1081*E1081</f>
        <v/>
      </c>
      <c r="R1081" s="20" t="n"/>
    </row>
    <row r="1082" ht="20" customHeight="1" s="1">
      <c r="A1082" s="21" t="inlineStr">
        <is>
          <t>10316</t>
        </is>
      </c>
      <c r="B1082" s="22" t="inlineStr">
        <is>
          <t>Ozden</t>
        </is>
      </c>
      <c r="C1082" s="21" t="inlineStr">
        <is>
          <t>8697422826619</t>
        </is>
      </c>
      <c r="D1082" s="22" t="inlineStr">
        <is>
          <t>Osvejitel FLAMINQO 350 ml Montain Fres</t>
        </is>
      </c>
      <c r="E1082" s="23" t="n">
        <v>3.45</v>
      </c>
      <c r="F1082" s="24" t="n">
        <v>48</v>
      </c>
      <c r="G1082" s="24" t="n">
        <v>239</v>
      </c>
      <c r="H1082" s="23" t="n"/>
      <c r="I1082" s="23" t="n"/>
      <c r="J1082" s="23" t="n"/>
      <c r="K1082" s="19" t="n"/>
      <c r="L1082" s="19" t="n"/>
      <c r="M1082" s="20" t="n"/>
      <c r="N1082" s="20" t="n">
        <v>50</v>
      </c>
      <c r="O1082" s="20" t="n"/>
      <c r="P1082" s="20">
        <f>O1082-N1082</f>
        <v/>
      </c>
      <c r="Q1082" s="20">
        <f>P1082*E1082</f>
        <v/>
      </c>
      <c r="R1082" s="20" t="n"/>
    </row>
    <row r="1083" ht="20" customHeight="1" s="1">
      <c r="A1083" s="16" t="inlineStr">
        <is>
          <t>10220</t>
        </is>
      </c>
      <c r="B1083" s="17" t="inlineStr">
        <is>
          <t>Ozden</t>
        </is>
      </c>
      <c r="C1083" s="16" t="inlineStr">
        <is>
          <t>8697422826527</t>
        </is>
      </c>
      <c r="D1083" s="17" t="inlineStr">
        <is>
          <t>Osvejitel FLAMINQO 350 ml Apple</t>
        </is>
      </c>
      <c r="E1083" s="18" t="n">
        <v>3.45</v>
      </c>
      <c r="F1083" s="25" t="n">
        <v>48</v>
      </c>
      <c r="G1083" s="25" t="n">
        <v>98</v>
      </c>
      <c r="H1083" s="18" t="n"/>
      <c r="I1083" s="18" t="n"/>
      <c r="J1083" s="18" t="n"/>
      <c r="K1083" s="19" t="n"/>
      <c r="L1083" s="19" t="n"/>
      <c r="M1083" s="20" t="n"/>
      <c r="N1083" s="20" t="n">
        <v>50</v>
      </c>
      <c r="O1083" s="20" t="n"/>
      <c r="P1083" s="20">
        <f>O1083-N1083</f>
        <v/>
      </c>
      <c r="Q1083" s="20">
        <f>P1083*E1083</f>
        <v/>
      </c>
      <c r="R1083" s="20" t="n"/>
    </row>
    <row r="1084" ht="20" customHeight="1" s="1">
      <c r="A1084" s="21" t="inlineStr">
        <is>
          <t>10366</t>
        </is>
      </c>
      <c r="B1084" s="22" t="inlineStr">
        <is>
          <t>Ozden</t>
        </is>
      </c>
      <c r="C1084" s="21" t="inlineStr">
        <is>
          <t>8697422826794</t>
        </is>
      </c>
      <c r="D1084" s="22" t="inlineStr">
        <is>
          <t>Osvejitel FLAMINQO 350 ml Oranje</t>
        </is>
      </c>
      <c r="E1084" s="23" t="n">
        <v>3.45</v>
      </c>
      <c r="F1084" s="24" t="n">
        <v>48</v>
      </c>
      <c r="G1084" s="24" t="n">
        <v>102</v>
      </c>
      <c r="H1084" s="23" t="n"/>
      <c r="I1084" s="23" t="n"/>
      <c r="J1084" s="23" t="n"/>
      <c r="K1084" s="19" t="n"/>
      <c r="L1084" s="19" t="n"/>
      <c r="M1084" s="20" t="n"/>
      <c r="N1084" s="20" t="n">
        <v>50</v>
      </c>
      <c r="O1084" s="20" t="n"/>
      <c r="P1084" s="20">
        <f>O1084-N1084</f>
        <v/>
      </c>
      <c r="Q1084" s="20">
        <f>P1084*E1084</f>
        <v/>
      </c>
      <c r="R1084" s="20" t="n"/>
    </row>
    <row r="1085" ht="20" customHeight="1" s="1">
      <c r="A1085" s="16" t="inlineStr">
        <is>
          <t>10170</t>
        </is>
      </c>
      <c r="B1085" s="17" t="inlineStr">
        <is>
          <t>Ozden</t>
        </is>
      </c>
      <c r="C1085" s="16" t="inlineStr">
        <is>
          <t>8697422827197</t>
        </is>
      </c>
      <c r="D1085" s="17" t="inlineStr">
        <is>
          <t>Osvejitel FLAMINQO 350 ml Chamamil</t>
        </is>
      </c>
      <c r="E1085" s="18" t="n">
        <v>3.45</v>
      </c>
      <c r="F1085" s="25" t="n">
        <v>48</v>
      </c>
      <c r="G1085" s="25" t="n">
        <v>156</v>
      </c>
      <c r="H1085" s="18" t="n"/>
      <c r="I1085" s="18" t="n"/>
      <c r="J1085" s="18" t="n"/>
      <c r="K1085" s="19" t="n"/>
      <c r="L1085" s="19" t="n"/>
      <c r="M1085" s="20" t="n"/>
      <c r="N1085" s="20" t="n">
        <v>50</v>
      </c>
      <c r="O1085" s="20" t="n"/>
      <c r="P1085" s="20">
        <f>O1085-N1085</f>
        <v/>
      </c>
      <c r="Q1085" s="20">
        <f>P1085*E1085</f>
        <v/>
      </c>
      <c r="R1085" s="20" t="n"/>
    </row>
    <row r="1086" ht="20" customHeight="1" s="1">
      <c r="A1086" s="21" t="inlineStr">
        <is>
          <t>10011</t>
        </is>
      </c>
      <c r="B1086" s="22" t="inlineStr">
        <is>
          <t>Ozden</t>
        </is>
      </c>
      <c r="C1086" s="21" t="inlineStr">
        <is>
          <t>8697422822932</t>
        </is>
      </c>
      <c r="D1086" s="22" t="inlineStr">
        <is>
          <t xml:space="preserve">Smart Qubka super blesk Cerniy </t>
        </is>
      </c>
      <c r="E1086" s="23" t="n">
        <v>1.65</v>
      </c>
      <c r="F1086" s="24" t="n">
        <v>96</v>
      </c>
      <c r="G1086" s="24" t="n">
        <v>772</v>
      </c>
      <c r="H1086" s="23" t="n">
        <v>480</v>
      </c>
      <c r="I1086" s="23" t="n">
        <v>292</v>
      </c>
      <c r="J1086" s="23" t="n"/>
      <c r="K1086" s="19">
        <f>H1086+I1086+J1086</f>
        <v/>
      </c>
      <c r="L1086" s="19">
        <f>K1086-G1086</f>
        <v/>
      </c>
      <c r="M1086" s="20">
        <f>L1086*E1086</f>
        <v/>
      </c>
      <c r="N1086" s="20" t="n">
        <v>50</v>
      </c>
      <c r="O1086" s="20" t="n">
        <v>10</v>
      </c>
      <c r="P1086" s="20">
        <f>O1086-N1086</f>
        <v/>
      </c>
      <c r="Q1086" s="20">
        <f>P1086*E1086</f>
        <v/>
      </c>
      <c r="R1086" s="20" t="inlineStr">
        <is>
          <t>Perviz</t>
        </is>
      </c>
    </row>
    <row r="1087" ht="20" customHeight="1" s="1">
      <c r="A1087" s="16" t="inlineStr">
        <is>
          <t>10020</t>
        </is>
      </c>
      <c r="B1087" s="17" t="inlineStr">
        <is>
          <t>Ozden</t>
        </is>
      </c>
      <c r="C1087" s="16" t="inlineStr">
        <is>
          <t>8697422822956</t>
        </is>
      </c>
      <c r="D1087" s="17" t="inlineStr">
        <is>
          <t>Smart Qubka super blesk bescvetniy</t>
        </is>
      </c>
      <c r="E1087" s="18" t="n">
        <v>1.65</v>
      </c>
      <c r="F1087" s="25" t="n">
        <v>96</v>
      </c>
      <c r="G1087" s="25" t="n">
        <v>419</v>
      </c>
      <c r="H1087" s="18" t="n">
        <v>192</v>
      </c>
      <c r="I1087" s="18" t="n">
        <v>227</v>
      </c>
      <c r="J1087" s="18" t="n"/>
      <c r="K1087" s="19">
        <f>H1087+I1087+J1087</f>
        <v/>
      </c>
      <c r="L1087" s="19">
        <f>K1087-G1087</f>
        <v/>
      </c>
      <c r="M1087" s="20">
        <f>L1087*E1087</f>
        <v/>
      </c>
      <c r="N1087" s="20" t="n">
        <v>50</v>
      </c>
      <c r="O1087" s="20" t="n">
        <v>66</v>
      </c>
      <c r="P1087" s="20">
        <f>O1087-N1087</f>
        <v/>
      </c>
      <c r="Q1087" s="20">
        <f>P1087*E1087</f>
        <v/>
      </c>
      <c r="R1087" s="20" t="n"/>
    </row>
    <row r="1088" ht="20" customHeight="1" s="1">
      <c r="A1088" s="21" t="inlineStr">
        <is>
          <t>10173</t>
        </is>
      </c>
      <c r="B1088" s="22" t="inlineStr">
        <is>
          <t>Ozden</t>
        </is>
      </c>
      <c r="C1088" s="21" t="inlineStr">
        <is>
          <t>8697422822987</t>
        </is>
      </c>
      <c r="D1088" s="22" t="inlineStr">
        <is>
          <t>Smart qubka AUTO Black</t>
        </is>
      </c>
      <c r="E1088" s="23" t="n">
        <v>1.75</v>
      </c>
      <c r="F1088" s="24" t="n">
        <v>96</v>
      </c>
      <c r="G1088" s="24" t="n">
        <v>112</v>
      </c>
      <c r="H1088" s="23" t="n">
        <v>112</v>
      </c>
      <c r="I1088" s="23" t="n"/>
      <c r="J1088" s="23" t="n"/>
      <c r="K1088" s="19">
        <f>H1088+I1088+J1088</f>
        <v/>
      </c>
      <c r="L1088" s="19">
        <f>K1088-G1088</f>
        <v/>
      </c>
      <c r="M1088" s="20">
        <f>L1088*E1088</f>
        <v/>
      </c>
      <c r="N1088" s="20" t="n">
        <v>50</v>
      </c>
      <c r="O1088" s="20" t="n"/>
      <c r="P1088" s="20">
        <f>O1088-N1088</f>
        <v/>
      </c>
      <c r="Q1088" s="20">
        <f>P1088*E1088</f>
        <v/>
      </c>
      <c r="R1088" s="20" t="n"/>
    </row>
    <row r="1089" ht="20" customHeight="1" s="1">
      <c r="A1089" s="16" t="inlineStr">
        <is>
          <t>10403</t>
        </is>
      </c>
      <c r="B1089" s="17" t="inlineStr">
        <is>
          <t>Ozden</t>
        </is>
      </c>
      <c r="C1089" s="16" t="inlineStr">
        <is>
          <t>8697422827241</t>
        </is>
      </c>
      <c r="D1089" s="17" t="inlineStr">
        <is>
          <t>Smart qubka AUTO Natural</t>
        </is>
      </c>
      <c r="E1089" s="18" t="n">
        <v>1.75</v>
      </c>
      <c r="F1089" s="25" t="n">
        <v>96</v>
      </c>
      <c r="G1089" s="25" t="n">
        <v>48</v>
      </c>
      <c r="H1089" s="18" t="n">
        <v>48</v>
      </c>
      <c r="I1089" s="18" t="n"/>
      <c r="J1089" s="18" t="n"/>
      <c r="K1089" s="19">
        <f>H1089+I1089+J1089</f>
        <v/>
      </c>
      <c r="L1089" s="19">
        <f>K1089-G1089</f>
        <v/>
      </c>
      <c r="M1089" s="20">
        <f>L1089*E1089</f>
        <v/>
      </c>
      <c r="N1089" s="20" t="n">
        <v>50</v>
      </c>
      <c r="O1089" s="20" t="n"/>
      <c r="P1089" s="20">
        <f>O1089-N1089</f>
        <v/>
      </c>
      <c r="Q1089" s="20">
        <f>P1089*E1089</f>
        <v/>
      </c>
      <c r="R1089" s="20" t="n"/>
    </row>
    <row r="1090" ht="20" customHeight="1" s="1">
      <c r="A1090" s="21" t="inlineStr">
        <is>
          <t>10092</t>
        </is>
      </c>
      <c r="B1090" s="22" t="inlineStr">
        <is>
          <t>Ozden</t>
        </is>
      </c>
      <c r="C1090" s="21" t="inlineStr">
        <is>
          <t>8697422827517</t>
        </is>
      </c>
      <c r="D1090" s="22" t="inlineStr">
        <is>
          <t>Smart qubka mini cerniy</t>
        </is>
      </c>
      <c r="E1090" s="23" t="n">
        <v>1.25</v>
      </c>
      <c r="F1090" s="24" t="n">
        <v>96</v>
      </c>
      <c r="G1090" s="24" t="n">
        <v>195</v>
      </c>
      <c r="H1090" s="23" t="n"/>
      <c r="I1090" s="23" t="n"/>
      <c r="J1090" s="23" t="n"/>
      <c r="K1090" s="19" t="n"/>
      <c r="L1090" s="19" t="n"/>
      <c r="M1090" s="20" t="n"/>
      <c r="N1090" s="20" t="n">
        <v>50</v>
      </c>
      <c r="O1090" s="20" t="n"/>
      <c r="P1090" s="20">
        <f>O1090-N1090</f>
        <v/>
      </c>
      <c r="Q1090" s="20">
        <f>P1090*E1090</f>
        <v/>
      </c>
      <c r="R1090" s="20" t="n"/>
    </row>
    <row r="1091" ht="20" customHeight="1" s="1">
      <c r="A1091" s="16" t="inlineStr">
        <is>
          <t>10155</t>
        </is>
      </c>
      <c r="B1091" s="17" t="inlineStr">
        <is>
          <t>Ozden</t>
        </is>
      </c>
      <c r="C1091" s="16" t="inlineStr">
        <is>
          <t>8697422822574</t>
        </is>
      </c>
      <c r="D1091" s="17" t="inlineStr">
        <is>
          <t>Smart qubka (orta) bescvet</t>
        </is>
      </c>
      <c r="E1091" s="18" t="n">
        <v>1.6</v>
      </c>
      <c r="F1091" s="25" t="n">
        <v>96</v>
      </c>
      <c r="G1091" s="25" t="n">
        <v>484</v>
      </c>
      <c r="H1091" s="18" t="n"/>
      <c r="I1091" s="18" t="n"/>
      <c r="J1091" s="18" t="n"/>
      <c r="K1091" s="19" t="n"/>
      <c r="L1091" s="19" t="n"/>
      <c r="M1091" s="20" t="n"/>
      <c r="N1091" s="20" t="n">
        <v>50</v>
      </c>
      <c r="O1091" s="20" t="n"/>
      <c r="P1091" s="20">
        <f>O1091-N1091</f>
        <v/>
      </c>
      <c r="Q1091" s="20">
        <f>P1091*E1091</f>
        <v/>
      </c>
      <c r="R1091" s="20" t="n"/>
    </row>
    <row r="1092" ht="20" customHeight="1" s="1">
      <c r="A1092" s="21" t="inlineStr">
        <is>
          <t>16300</t>
        </is>
      </c>
      <c r="B1092" s="22" t="inlineStr">
        <is>
          <t>Ozden</t>
        </is>
      </c>
      <c r="C1092" s="21" t="inlineStr">
        <is>
          <t>8697422822093</t>
        </is>
      </c>
      <c r="D1092" s="22" t="inlineStr">
        <is>
          <t>Smart qubka (orta) cerniy</t>
        </is>
      </c>
      <c r="E1092" s="23" t="n">
        <v>1.6</v>
      </c>
      <c r="F1092" s="24" t="n">
        <v>96</v>
      </c>
      <c r="G1092" s="24" t="n">
        <v>0</v>
      </c>
      <c r="H1092" s="23" t="n"/>
      <c r="I1092" s="23" t="n"/>
      <c r="J1092" s="23" t="n"/>
      <c r="K1092" s="19">
        <f>H1092+I1092+J1092</f>
        <v/>
      </c>
      <c r="L1092" s="19">
        <f>K1092-G1092</f>
        <v/>
      </c>
      <c r="M1092" s="20">
        <f>L1092*E1092</f>
        <v/>
      </c>
      <c r="N1092" s="20" t="n">
        <v>50</v>
      </c>
      <c r="O1092" s="20" t="n"/>
      <c r="P1092" s="20">
        <f>O1092-N1092</f>
        <v/>
      </c>
      <c r="Q1092" s="20">
        <f>P1092*E1092</f>
        <v/>
      </c>
      <c r="R1092" s="20" t="n"/>
    </row>
    <row r="1093" ht="20" customHeight="1" s="1">
      <c r="A1093" s="16" t="inlineStr">
        <is>
          <t>10091</t>
        </is>
      </c>
      <c r="B1093" s="17" t="inlineStr">
        <is>
          <t>Ozden</t>
        </is>
      </c>
      <c r="C1093" s="16" t="inlineStr">
        <is>
          <t>8697422822635</t>
        </is>
      </c>
      <c r="D1093" s="17" t="inlineStr">
        <is>
          <t>Smart .shotka dl zamus&amp; nabuka</t>
        </is>
      </c>
      <c r="E1093" s="18" t="n">
        <v>1.7</v>
      </c>
      <c r="F1093" s="25" t="n">
        <v>96</v>
      </c>
      <c r="G1093" s="25" t="n">
        <v>340</v>
      </c>
      <c r="H1093" s="18" t="n">
        <v>340</v>
      </c>
      <c r="I1093" s="18" t="n"/>
      <c r="J1093" s="18" t="n"/>
      <c r="K1093" s="19">
        <f>H1093+I1093+J1093</f>
        <v/>
      </c>
      <c r="L1093" s="19">
        <f>K1093-G1093</f>
        <v/>
      </c>
      <c r="M1093" s="20">
        <f>L1093*E1093</f>
        <v/>
      </c>
      <c r="N1093" s="20" t="n">
        <v>50</v>
      </c>
      <c r="O1093" s="20" t="n"/>
      <c r="P1093" s="20">
        <f>O1093-N1093</f>
        <v/>
      </c>
      <c r="Q1093" s="20">
        <f>P1093*E1093</f>
        <v/>
      </c>
      <c r="R1093" s="20" t="n"/>
    </row>
    <row r="1094" ht="20" customHeight="1" s="1">
      <c r="A1094" s="21" t="inlineStr">
        <is>
          <t>10024</t>
        </is>
      </c>
      <c r="B1094" s="22" t="inlineStr">
        <is>
          <t>Ozden</t>
        </is>
      </c>
      <c r="C1094" s="21" t="inlineStr">
        <is>
          <t>8697422823120</t>
        </is>
      </c>
      <c r="D1094" s="22" t="inlineStr">
        <is>
          <t>Smart krem dl.obuvi  50 ml cerniy</t>
        </is>
      </c>
      <c r="E1094" s="23" t="n">
        <v>2.75</v>
      </c>
      <c r="F1094" s="24" t="n">
        <v>48</v>
      </c>
      <c r="G1094" s="24" t="n">
        <v>615</v>
      </c>
      <c r="H1094" s="23" t="n">
        <v>607</v>
      </c>
      <c r="I1094" s="23" t="n">
        <v>8</v>
      </c>
      <c r="J1094" s="23" t="n"/>
      <c r="K1094" s="19">
        <f>H1094+I1094+J1094</f>
        <v/>
      </c>
      <c r="L1094" s="19">
        <f>K1094-G1094</f>
        <v/>
      </c>
      <c r="M1094" s="20">
        <f>L1094*E1094</f>
        <v/>
      </c>
      <c r="N1094" s="20" t="n">
        <v>50</v>
      </c>
      <c r="O1094" s="20" t="n"/>
      <c r="P1094" s="20">
        <f>O1094-N1094</f>
        <v/>
      </c>
      <c r="Q1094" s="20">
        <f>P1094*E1094</f>
        <v/>
      </c>
      <c r="R1094" s="20" t="n"/>
    </row>
    <row r="1095" ht="20" customHeight="1" s="1">
      <c r="A1095" s="16" t="inlineStr">
        <is>
          <t>10069</t>
        </is>
      </c>
      <c r="B1095" s="17" t="inlineStr">
        <is>
          <t>Ozden</t>
        </is>
      </c>
      <c r="C1095" s="16" t="inlineStr">
        <is>
          <t>8697422821539</t>
        </is>
      </c>
      <c r="D1095" s="17" t="inlineStr">
        <is>
          <t>Smart krem dl.obuvi  50 ml koricn.</t>
        </is>
      </c>
      <c r="E1095" s="18" t="n">
        <v>2.85</v>
      </c>
      <c r="F1095" s="25" t="n">
        <v>48</v>
      </c>
      <c r="G1095" s="25" t="n">
        <v>176</v>
      </c>
      <c r="H1095" s="18" t="n">
        <v>173</v>
      </c>
      <c r="I1095" s="18" t="n">
        <v>3</v>
      </c>
      <c r="J1095" s="18" t="n"/>
      <c r="K1095" s="19">
        <f>H1095+I1095+J1095</f>
        <v/>
      </c>
      <c r="L1095" s="19">
        <f>K1095-G1095</f>
        <v/>
      </c>
      <c r="M1095" s="20">
        <f>L1095*E1095</f>
        <v/>
      </c>
      <c r="N1095" s="20" t="n">
        <v>50</v>
      </c>
      <c r="O1095" s="20" t="n"/>
      <c r="P1095" s="20">
        <f>O1095-N1095</f>
        <v/>
      </c>
      <c r="Q1095" s="20">
        <f>P1095*E1095</f>
        <v/>
      </c>
      <c r="R1095" s="20" t="n"/>
    </row>
    <row r="1096" ht="20" customHeight="1" s="1">
      <c r="A1096" s="21" t="inlineStr">
        <is>
          <t>10341</t>
        </is>
      </c>
      <c r="B1096" s="22" t="inlineStr">
        <is>
          <t>Ozden</t>
        </is>
      </c>
      <c r="C1096" s="21" t="inlineStr">
        <is>
          <t>8697422821652</t>
        </is>
      </c>
      <c r="D1096" s="22" t="inlineStr">
        <is>
          <t>Smart Lord krem banka cerniy 50ml</t>
        </is>
      </c>
      <c r="E1096" s="23" t="n">
        <v>6.05</v>
      </c>
      <c r="F1096" s="24" t="n">
        <v>48</v>
      </c>
      <c r="G1096" s="24" t="n">
        <v>123</v>
      </c>
      <c r="H1096" s="23" t="n">
        <v>123</v>
      </c>
      <c r="I1096" s="23" t="n"/>
      <c r="J1096" s="23" t="n"/>
      <c r="K1096" s="19">
        <f>H1096+I1096+J1096</f>
        <v/>
      </c>
      <c r="L1096" s="19">
        <f>K1096-G1096</f>
        <v/>
      </c>
      <c r="M1096" s="20">
        <f>L1096*E1096</f>
        <v/>
      </c>
      <c r="N1096" s="20" t="n">
        <v>50</v>
      </c>
      <c r="O1096" s="20" t="n"/>
      <c r="P1096" s="20">
        <f>O1096-N1096</f>
        <v/>
      </c>
      <c r="Q1096" s="20">
        <f>P1096*E1096</f>
        <v/>
      </c>
      <c r="R1096" s="20" t="n"/>
    </row>
    <row r="1097" ht="20" customHeight="1" s="1">
      <c r="A1097" s="16" t="inlineStr">
        <is>
          <t>10178</t>
        </is>
      </c>
      <c r="B1097" s="17" t="inlineStr">
        <is>
          <t>Ozden</t>
        </is>
      </c>
      <c r="C1097" s="16" t="inlineStr">
        <is>
          <t>8697422821676</t>
        </is>
      </c>
      <c r="D1097" s="17" t="inlineStr">
        <is>
          <t>Smart Lord krem banka koricneviy 50ml</t>
        </is>
      </c>
      <c r="E1097" s="18" t="n">
        <v>6.15</v>
      </c>
      <c r="F1097" s="25" t="n">
        <v>48</v>
      </c>
      <c r="G1097" s="25" t="n">
        <v>5</v>
      </c>
      <c r="H1097" s="18" t="n">
        <v>3</v>
      </c>
      <c r="I1097" s="18" t="n">
        <v>2</v>
      </c>
      <c r="J1097" s="18" t="n"/>
      <c r="K1097" s="19">
        <f>H1097+I1097+J1097</f>
        <v/>
      </c>
      <c r="L1097" s="19">
        <f>K1097-G1097</f>
        <v/>
      </c>
      <c r="M1097" s="20">
        <f>L1097*E1097</f>
        <v/>
      </c>
      <c r="N1097" s="20" t="n">
        <v>50</v>
      </c>
      <c r="O1097" s="20" t="n"/>
      <c r="P1097" s="20">
        <f>O1097-N1097</f>
        <v/>
      </c>
      <c r="Q1097" s="20">
        <f>P1097*E1097</f>
        <v/>
      </c>
      <c r="R1097" s="20" t="n"/>
    </row>
    <row r="1098" ht="20" customHeight="1" s="1">
      <c r="A1098" s="21" t="inlineStr">
        <is>
          <t>10233</t>
        </is>
      </c>
      <c r="B1098" s="22" t="inlineStr">
        <is>
          <t>Ozden</t>
        </is>
      </c>
      <c r="C1098" s="21" t="inlineStr">
        <is>
          <t>8697422821690</t>
        </is>
      </c>
      <c r="D1098" s="22" t="inlineStr">
        <is>
          <t>Smart Lord krem banka Blue 50ml</t>
        </is>
      </c>
      <c r="E1098" s="23" t="n">
        <v>6.15</v>
      </c>
      <c r="F1098" s="24" t="n">
        <v>48</v>
      </c>
      <c r="G1098" s="24" t="n">
        <v>85</v>
      </c>
      <c r="H1098" s="23" t="n"/>
      <c r="I1098" s="23" t="n"/>
      <c r="J1098" s="23" t="n"/>
      <c r="K1098" s="19" t="n"/>
      <c r="L1098" s="19" t="n"/>
      <c r="M1098" s="20" t="n"/>
      <c r="N1098" s="20" t="n">
        <v>50</v>
      </c>
      <c r="O1098" s="20" t="n"/>
      <c r="P1098" s="20">
        <f>O1098-N1098</f>
        <v/>
      </c>
      <c r="Q1098" s="20">
        <f>P1098*E1098</f>
        <v/>
      </c>
      <c r="R1098" s="20" t="n"/>
    </row>
    <row r="1099" ht="20" customHeight="1" s="1">
      <c r="A1099" s="16" t="inlineStr">
        <is>
          <t>19484</t>
        </is>
      </c>
      <c r="B1099" s="17" t="inlineStr">
        <is>
          <t>Ozden</t>
        </is>
      </c>
      <c r="C1099" s="16" t="inlineStr">
        <is>
          <t>8697422821683</t>
        </is>
      </c>
      <c r="D1099" s="17" t="inlineStr">
        <is>
          <t>Smart Lord krem banka Natural 50ml</t>
        </is>
      </c>
      <c r="E1099" s="18" t="n">
        <v>5.6</v>
      </c>
      <c r="F1099" s="25" t="n">
        <v>48</v>
      </c>
      <c r="G1099" s="25" t="n">
        <v>0</v>
      </c>
      <c r="H1099" s="18" t="n"/>
      <c r="I1099" s="18" t="n"/>
      <c r="J1099" s="18" t="n"/>
      <c r="K1099" s="19">
        <f>H1099+I1099+J1099</f>
        <v/>
      </c>
      <c r="L1099" s="19">
        <f>K1099-G1099</f>
        <v/>
      </c>
      <c r="M1099" s="20">
        <f>L1099*E1099</f>
        <v/>
      </c>
      <c r="N1099" s="20" t="n">
        <v>50</v>
      </c>
      <c r="O1099" s="20" t="n"/>
      <c r="P1099" s="20">
        <f>O1099-N1099</f>
        <v/>
      </c>
      <c r="Q1099" s="20">
        <f>P1099*E1099</f>
        <v/>
      </c>
      <c r="R1099" s="20" t="n"/>
    </row>
    <row r="1100" ht="20" customHeight="1" s="1">
      <c r="A1100" s="21" t="inlineStr">
        <is>
          <t>10014</t>
        </is>
      </c>
      <c r="B1100" s="22" t="inlineStr">
        <is>
          <t>Ozden</t>
        </is>
      </c>
      <c r="C1100" s="21" t="inlineStr">
        <is>
          <t>8697422827456</t>
        </is>
      </c>
      <c r="D1100" s="22" t="inlineStr">
        <is>
          <t>Smart krem banka Black. 60ml</t>
        </is>
      </c>
      <c r="E1100" s="23" t="n">
        <v>2.45</v>
      </c>
      <c r="F1100" s="24" t="n">
        <v>48</v>
      </c>
      <c r="G1100" s="24" t="n">
        <v>802</v>
      </c>
      <c r="H1100" s="23" t="n">
        <v>720</v>
      </c>
      <c r="I1100" s="23" t="n">
        <v>82</v>
      </c>
      <c r="J1100" s="23" t="n"/>
      <c r="K1100" s="19">
        <f>H1100+I1100+J1100</f>
        <v/>
      </c>
      <c r="L1100" s="19">
        <f>K1100-G1100</f>
        <v/>
      </c>
      <c r="M1100" s="20">
        <f>L1100*E1100</f>
        <v/>
      </c>
      <c r="N1100" s="20" t="n">
        <v>50</v>
      </c>
      <c r="O1100" s="20" t="n"/>
      <c r="P1100" s="20">
        <f>O1100-N1100</f>
        <v/>
      </c>
      <c r="Q1100" s="20">
        <f>P1100*E1100</f>
        <v/>
      </c>
      <c r="R1100" s="20" t="n"/>
    </row>
    <row r="1101" ht="20" customHeight="1" s="1">
      <c r="A1101" s="16" t="inlineStr">
        <is>
          <t>10025</t>
        </is>
      </c>
      <c r="B1101" s="17" t="inlineStr">
        <is>
          <t>Ozden</t>
        </is>
      </c>
      <c r="C1101" s="16" t="inlineStr">
        <is>
          <t>8697422822673</t>
        </is>
      </c>
      <c r="D1101" s="17" t="inlineStr">
        <is>
          <t>Smart elite krem-kraska d.obuvi cerniy</t>
        </is>
      </c>
      <c r="E1101" s="18" t="n">
        <v>3.1</v>
      </c>
      <c r="F1101" s="25" t="n">
        <v>48</v>
      </c>
      <c r="G1101" s="25" t="n">
        <v>136</v>
      </c>
      <c r="H1101" s="18" t="n">
        <v>48</v>
      </c>
      <c r="I1101" s="18" t="n">
        <v>88</v>
      </c>
      <c r="J1101" s="18" t="n"/>
      <c r="K1101" s="19">
        <f>H1101+I1101+J1101</f>
        <v/>
      </c>
      <c r="L1101" s="19">
        <f>K1101-G1101</f>
        <v/>
      </c>
      <c r="M1101" s="20">
        <f>L1101*E1101</f>
        <v/>
      </c>
      <c r="N1101" s="20" t="n">
        <v>50</v>
      </c>
      <c r="O1101" s="20" t="n"/>
      <c r="P1101" s="20">
        <f>O1101-N1101</f>
        <v/>
      </c>
      <c r="Q1101" s="20">
        <f>P1101*E1101</f>
        <v/>
      </c>
      <c r="R1101" s="20" t="n"/>
    </row>
    <row r="1102" ht="20" customHeight="1" s="1">
      <c r="A1102" s="21" t="inlineStr">
        <is>
          <t>10070</t>
        </is>
      </c>
      <c r="B1102" s="22" t="inlineStr">
        <is>
          <t>Ozden</t>
        </is>
      </c>
      <c r="C1102" s="21" t="inlineStr">
        <is>
          <t>8697422822680</t>
        </is>
      </c>
      <c r="D1102" s="22" t="inlineStr">
        <is>
          <t>Smart elite krem-kraska d.obuvi koricneviy</t>
        </is>
      </c>
      <c r="E1102" s="23" t="n">
        <v>3.25</v>
      </c>
      <c r="F1102" s="24" t="n">
        <v>48</v>
      </c>
      <c r="G1102" s="24" t="n">
        <v>171</v>
      </c>
      <c r="H1102" s="23" t="n">
        <v>96</v>
      </c>
      <c r="I1102" s="23" t="n">
        <v>75</v>
      </c>
      <c r="J1102" s="23" t="n"/>
      <c r="K1102" s="19">
        <f>H1102+I1102+J1102</f>
        <v/>
      </c>
      <c r="L1102" s="19">
        <f>K1102-G1102</f>
        <v/>
      </c>
      <c r="M1102" s="20">
        <f>L1102*E1102</f>
        <v/>
      </c>
      <c r="N1102" s="20" t="n">
        <v>50</v>
      </c>
      <c r="O1102" s="20" t="n"/>
      <c r="P1102" s="20">
        <f>O1102-N1102</f>
        <v/>
      </c>
      <c r="Q1102" s="20">
        <f>P1102*E1102</f>
        <v/>
      </c>
      <c r="R1102" s="20" t="n"/>
    </row>
    <row r="1103" ht="20" customHeight="1" s="1">
      <c r="A1103" s="16" t="inlineStr">
        <is>
          <t>10075</t>
        </is>
      </c>
      <c r="B1103" s="17" t="inlineStr">
        <is>
          <t>Ozden</t>
        </is>
      </c>
      <c r="C1103" s="16" t="inlineStr">
        <is>
          <t>8697422822901</t>
        </is>
      </c>
      <c r="D1103" s="17" t="inlineStr">
        <is>
          <t>Smart elite krem-kraska d.obuvi bescvetniy</t>
        </is>
      </c>
      <c r="E1103" s="18" t="n">
        <v>3.25</v>
      </c>
      <c r="F1103" s="25" t="n">
        <v>48</v>
      </c>
      <c r="G1103" s="25" t="n">
        <v>136</v>
      </c>
      <c r="H1103" s="18" t="n">
        <v>131</v>
      </c>
      <c r="I1103" s="18" t="n">
        <v>5</v>
      </c>
      <c r="J1103" s="18" t="n"/>
      <c r="K1103" s="19">
        <f>H1103+I1103+J1103</f>
        <v/>
      </c>
      <c r="L1103" s="19">
        <f>K1103-G1103</f>
        <v/>
      </c>
      <c r="M1103" s="20">
        <f>L1103*E1103</f>
        <v/>
      </c>
      <c r="N1103" s="20" t="n">
        <v>50</v>
      </c>
      <c r="O1103" s="20" t="n"/>
      <c r="P1103" s="20">
        <f>O1103-N1103</f>
        <v/>
      </c>
      <c r="Q1103" s="20">
        <f>P1103*E1103</f>
        <v/>
      </c>
      <c r="R1103" s="20" t="n"/>
    </row>
    <row r="1104" ht="20" customHeight="1" s="1">
      <c r="A1104" s="21" t="inlineStr">
        <is>
          <t>17310</t>
        </is>
      </c>
      <c r="B1104" s="22" t="inlineStr">
        <is>
          <t>Ozden</t>
        </is>
      </c>
      <c r="C1104" s="21" t="inlineStr">
        <is>
          <t>8697422828514</t>
        </is>
      </c>
      <c r="D1104" s="22" t="inlineStr">
        <is>
          <t>Smart elite Gel dlya koj 75ml</t>
        </is>
      </c>
      <c r="E1104" s="23" t="n">
        <v>3.25</v>
      </c>
      <c r="F1104" s="24" t="n">
        <v>48</v>
      </c>
      <c r="G1104" s="24" t="n">
        <v>70</v>
      </c>
      <c r="H1104" s="23" t="n">
        <v>70</v>
      </c>
      <c r="I1104" s="23" t="n"/>
      <c r="J1104" s="23" t="n"/>
      <c r="K1104" s="19">
        <f>H1104+I1104+J1104</f>
        <v/>
      </c>
      <c r="L1104" s="19">
        <f>K1104-G1104</f>
        <v/>
      </c>
      <c r="M1104" s="20">
        <f>L1104*E1104</f>
        <v/>
      </c>
      <c r="N1104" s="20" t="n">
        <v>50</v>
      </c>
      <c r="O1104" s="20" t="n"/>
      <c r="P1104" s="20">
        <f>O1104-N1104</f>
        <v/>
      </c>
      <c r="Q1104" s="20">
        <f>P1104*E1104</f>
        <v/>
      </c>
      <c r="R1104" s="20" t="n"/>
    </row>
    <row r="1105" ht="20" customHeight="1" s="1">
      <c r="A1105" s="16" t="inlineStr">
        <is>
          <t>10029</t>
        </is>
      </c>
      <c r="B1105" s="17" t="inlineStr">
        <is>
          <t>Ozden</t>
        </is>
      </c>
      <c r="C1105" s="16" t="inlineStr">
        <is>
          <t>8697422821928</t>
        </is>
      </c>
      <c r="D1105" s="17" t="inlineStr">
        <is>
          <t>Smart Jidkaya kraska cerniy 75 ml</t>
        </is>
      </c>
      <c r="E1105" s="18" t="n">
        <v>2.65</v>
      </c>
      <c r="F1105" s="25" t="n">
        <v>48</v>
      </c>
      <c r="G1105" s="25" t="n">
        <v>163</v>
      </c>
      <c r="H1105" s="18" t="n"/>
      <c r="I1105" s="18" t="n"/>
      <c r="J1105" s="18" t="n"/>
      <c r="K1105" s="19" t="n"/>
      <c r="L1105" s="19" t="n"/>
      <c r="M1105" s="20" t="n"/>
      <c r="N1105" s="20" t="n">
        <v>50</v>
      </c>
      <c r="O1105" s="20" t="n"/>
      <c r="P1105" s="20">
        <f>O1105-N1105</f>
        <v/>
      </c>
      <c r="Q1105" s="20">
        <f>P1105*E1105</f>
        <v/>
      </c>
      <c r="R1105" s="20" t="n"/>
    </row>
    <row r="1106" ht="20" customHeight="1" s="1">
      <c r="A1106" s="21" t="inlineStr">
        <is>
          <t>10312</t>
        </is>
      </c>
      <c r="B1106" s="22" t="inlineStr">
        <is>
          <t>Ozden</t>
        </is>
      </c>
      <c r="C1106" s="21" t="inlineStr">
        <is>
          <t>8697422821959</t>
        </is>
      </c>
      <c r="D1106" s="22" t="inlineStr">
        <is>
          <t>Smart Jidkaya kraska bescvetniy 80ml</t>
        </is>
      </c>
      <c r="E1106" s="23" t="n">
        <v>2.75</v>
      </c>
      <c r="F1106" s="24" t="n">
        <v>48</v>
      </c>
      <c r="G1106" s="24" t="n">
        <v>72</v>
      </c>
      <c r="H1106" s="23" t="n">
        <v>72</v>
      </c>
      <c r="I1106" s="23" t="n"/>
      <c r="J1106" s="23" t="n"/>
      <c r="K1106" s="19">
        <f>H1106+I1106+J1106</f>
        <v/>
      </c>
      <c r="L1106" s="19">
        <f>K1106-G1106</f>
        <v/>
      </c>
      <c r="M1106" s="20">
        <f>L1106*E1106</f>
        <v/>
      </c>
      <c r="N1106" s="20" t="n">
        <v>50</v>
      </c>
      <c r="O1106" s="20" t="n"/>
      <c r="P1106" s="20">
        <f>O1106-N1106</f>
        <v/>
      </c>
      <c r="Q1106" s="20">
        <f>P1106*E1106</f>
        <v/>
      </c>
      <c r="R1106" s="20" t="n"/>
    </row>
    <row r="1107" ht="20" customHeight="1" s="1">
      <c r="A1107" s="16" t="inlineStr">
        <is>
          <t>10244</t>
        </is>
      </c>
      <c r="B1107" s="17" t="inlineStr">
        <is>
          <t>Ozden</t>
        </is>
      </c>
      <c r="C1107" s="16" t="inlineStr">
        <is>
          <t>8697422821942</t>
        </is>
      </c>
      <c r="D1107" s="17" t="inlineStr">
        <is>
          <t>Smart Jidkaya kraska koricneviy 75 ml</t>
        </is>
      </c>
      <c r="E1107" s="18" t="n">
        <v>2.75</v>
      </c>
      <c r="F1107" s="25" t="n">
        <v>48</v>
      </c>
      <c r="G1107" s="25" t="n">
        <v>71</v>
      </c>
      <c r="H1107" s="18" t="n"/>
      <c r="I1107" s="18" t="n"/>
      <c r="J1107" s="18" t="n"/>
      <c r="K1107" s="19" t="n"/>
      <c r="L1107" s="19" t="n"/>
      <c r="M1107" s="20" t="n"/>
      <c r="N1107" s="20" t="n">
        <v>50</v>
      </c>
      <c r="O1107" s="20" t="n"/>
      <c r="P1107" s="20">
        <f>O1107-N1107</f>
        <v/>
      </c>
      <c r="Q1107" s="20">
        <f>P1107*E1107</f>
        <v/>
      </c>
      <c r="R1107" s="20" t="n"/>
    </row>
    <row r="1108" ht="20" customHeight="1" s="1">
      <c r="A1108" s="21" t="inlineStr">
        <is>
          <t>19057</t>
        </is>
      </c>
      <c r="B1108" s="22" t="inlineStr">
        <is>
          <t>Ozden</t>
        </is>
      </c>
      <c r="C1108" s="21" t="inlineStr">
        <is>
          <t>8697422822000</t>
        </is>
      </c>
      <c r="D1108" s="22" t="inlineStr">
        <is>
          <t>Smart Jidkaya kraska white 75ml</t>
        </is>
      </c>
      <c r="E1108" s="23" t="n">
        <v>2.85</v>
      </c>
      <c r="F1108" s="24" t="n">
        <v>48</v>
      </c>
      <c r="G1108" s="24" t="n">
        <v>106</v>
      </c>
      <c r="H1108" s="23" t="n">
        <v>106</v>
      </c>
      <c r="I1108" s="23" t="n"/>
      <c r="J1108" s="23" t="n"/>
      <c r="K1108" s="19">
        <f>H1108+I1108+J1108</f>
        <v/>
      </c>
      <c r="L1108" s="19">
        <f>K1108-G1108</f>
        <v/>
      </c>
      <c r="M1108" s="20">
        <f>L1108*E1108</f>
        <v/>
      </c>
      <c r="N1108" s="20" t="n">
        <v>50</v>
      </c>
      <c r="O1108" s="20" t="n"/>
      <c r="P1108" s="20">
        <f>O1108-N1108</f>
        <v/>
      </c>
      <c r="Q1108" s="20">
        <f>P1108*E1108</f>
        <v/>
      </c>
      <c r="R1108" s="20" t="n"/>
    </row>
    <row r="1109" ht="20" customHeight="1" s="1">
      <c r="A1109" s="16" t="inlineStr">
        <is>
          <t>18408</t>
        </is>
      </c>
      <c r="B1109" s="17" t="inlineStr">
        <is>
          <t>Ozden</t>
        </is>
      </c>
      <c r="C1109" s="16" t="inlineStr">
        <is>
          <t>8697422829160</t>
        </is>
      </c>
      <c r="D1109" s="17" t="inlineStr">
        <is>
          <t>Smart Tubik Shoe Polish 80ml Black</t>
        </is>
      </c>
      <c r="E1109" s="18" t="n">
        <v>2.8</v>
      </c>
      <c r="F1109" s="25" t="n">
        <v>48</v>
      </c>
      <c r="G1109" s="25" t="n">
        <v>0</v>
      </c>
      <c r="H1109" s="18" t="n"/>
      <c r="I1109" s="18" t="n"/>
      <c r="J1109" s="18" t="n"/>
      <c r="K1109" s="19">
        <f>H1109+I1109+J1109</f>
        <v/>
      </c>
      <c r="L1109" s="19">
        <f>K1109-G1109</f>
        <v/>
      </c>
      <c r="M1109" s="20">
        <f>L1109*E1109</f>
        <v/>
      </c>
      <c r="N1109" s="20" t="n">
        <v>50</v>
      </c>
      <c r="O1109" s="20" t="n"/>
      <c r="P1109" s="20">
        <f>O1109-N1109</f>
        <v/>
      </c>
      <c r="Q1109" s="20">
        <f>P1109*E1109</f>
        <v/>
      </c>
      <c r="R1109" s="20" t="n"/>
    </row>
    <row r="1110" ht="20" customHeight="1" s="1">
      <c r="A1110" s="21" t="inlineStr">
        <is>
          <t>10078</t>
        </is>
      </c>
      <c r="B1110" s="22" t="inlineStr">
        <is>
          <t>Ozden</t>
        </is>
      </c>
      <c r="C1110" s="21" t="inlineStr">
        <is>
          <t>8697422822918</t>
        </is>
      </c>
      <c r="D1110" s="22" t="inlineStr">
        <is>
          <t>Smart Sprey kras.Zamshi&amp; 100ml Qara</t>
        </is>
      </c>
      <c r="E1110" s="23" t="n">
        <v>6.5</v>
      </c>
      <c r="F1110" s="24" t="n">
        <v>48</v>
      </c>
      <c r="G1110" s="24" t="n">
        <v>392</v>
      </c>
      <c r="H1110" s="23" t="n">
        <v>104</v>
      </c>
      <c r="I1110" s="23" t="n">
        <v>288</v>
      </c>
      <c r="J1110" s="23" t="n"/>
      <c r="K1110" s="19">
        <f>H1110+I1110+J1110</f>
        <v/>
      </c>
      <c r="L1110" s="19">
        <f>K1110-G1110</f>
        <v/>
      </c>
      <c r="M1110" s="20">
        <f>L1110*E1110</f>
        <v/>
      </c>
      <c r="N1110" s="20" t="n">
        <v>50</v>
      </c>
      <c r="O1110" s="20" t="n"/>
      <c r="P1110" s="20">
        <f>O1110-N1110</f>
        <v/>
      </c>
      <c r="Q1110" s="20">
        <f>P1110*E1110</f>
        <v/>
      </c>
      <c r="R1110" s="20" t="n"/>
    </row>
    <row r="1111" ht="20" customHeight="1" s="1">
      <c r="A1111" s="16" t="inlineStr">
        <is>
          <t>10251</t>
        </is>
      </c>
      <c r="B1111" s="17" t="inlineStr">
        <is>
          <t>Ozden</t>
        </is>
      </c>
      <c r="C1111" s="16" t="inlineStr">
        <is>
          <t>8697422822123</t>
        </is>
      </c>
      <c r="D1111" s="17" t="inlineStr">
        <is>
          <t>Smart Sprey kras.Zamshi&amp; 100ml Qirmizi</t>
        </is>
      </c>
      <c r="E1111" s="18" t="n">
        <v>6.6</v>
      </c>
      <c r="F1111" s="25" t="n">
        <v>48</v>
      </c>
      <c r="G1111" s="25" t="n">
        <v>3</v>
      </c>
      <c r="H1111" s="18" t="n">
        <v>3</v>
      </c>
      <c r="I1111" s="18" t="n"/>
      <c r="J1111" s="18" t="n"/>
      <c r="K1111" s="19">
        <f>H1111+I1111+J1111</f>
        <v/>
      </c>
      <c r="L1111" s="19">
        <f>K1111-G1111</f>
        <v/>
      </c>
      <c r="M1111" s="20">
        <f>L1111*E1111</f>
        <v/>
      </c>
      <c r="N1111" s="20" t="n">
        <v>50</v>
      </c>
      <c r="O1111" s="20" t="n"/>
      <c r="P1111" s="20">
        <f>O1111-N1111</f>
        <v/>
      </c>
      <c r="Q1111" s="20">
        <f>P1111*E1111</f>
        <v/>
      </c>
      <c r="R1111" s="20" t="n"/>
    </row>
    <row r="1112" ht="20" customHeight="1" s="1">
      <c r="A1112" s="21" t="inlineStr">
        <is>
          <t>10084</t>
        </is>
      </c>
      <c r="B1112" s="22" t="inlineStr">
        <is>
          <t>Ozden</t>
        </is>
      </c>
      <c r="C1112" s="21" t="inlineStr">
        <is>
          <t>8697422821898</t>
        </is>
      </c>
      <c r="D1112" s="22" t="inlineStr">
        <is>
          <t>Smart Sprey kras.Zamshi&amp; 100ml Blue</t>
        </is>
      </c>
      <c r="E1112" s="23" t="n">
        <v>7.25</v>
      </c>
      <c r="F1112" s="24" t="n">
        <v>48</v>
      </c>
      <c r="G1112" s="24" t="n">
        <v>0</v>
      </c>
      <c r="H1112" s="23" t="n"/>
      <c r="I1112" s="23" t="n"/>
      <c r="J1112" s="23" t="n"/>
      <c r="K1112" s="19" t="n"/>
      <c r="L1112" s="19" t="n"/>
      <c r="M1112" s="20" t="n"/>
      <c r="N1112" s="20" t="n">
        <v>50</v>
      </c>
      <c r="O1112" s="20" t="n"/>
      <c r="P1112" s="20">
        <f>O1112-N1112</f>
        <v/>
      </c>
      <c r="Q1112" s="20">
        <f>P1112*E1112</f>
        <v/>
      </c>
      <c r="R1112" s="20" t="n"/>
    </row>
    <row r="1113" ht="20" customHeight="1" s="1">
      <c r="A1113" s="16" t="inlineStr">
        <is>
          <t>10420</t>
        </is>
      </c>
      <c r="B1113" s="17" t="inlineStr">
        <is>
          <t>Ozden</t>
        </is>
      </c>
      <c r="C1113" s="16" t="inlineStr">
        <is>
          <t>8697422826251</t>
        </is>
      </c>
      <c r="D1113" s="17" t="inlineStr">
        <is>
          <t>Smart ocis.dl sportivnoy 125 ml</t>
        </is>
      </c>
      <c r="E1113" s="18" t="n">
        <v>7.65</v>
      </c>
      <c r="F1113" s="25" t="n">
        <v>24</v>
      </c>
      <c r="G1113" s="25" t="n">
        <v>40</v>
      </c>
      <c r="H1113" s="18" t="n">
        <v>40</v>
      </c>
      <c r="I1113" s="18" t="n"/>
      <c r="J1113" s="18" t="n"/>
      <c r="K1113" s="19">
        <f>H1113+I1113+J1113</f>
        <v/>
      </c>
      <c r="L1113" s="19">
        <f>K1113-G1113</f>
        <v/>
      </c>
      <c r="M1113" s="20">
        <f>L1113*E1113</f>
        <v/>
      </c>
      <c r="N1113" s="20" t="n">
        <v>50</v>
      </c>
      <c r="O1113" s="20" t="n"/>
      <c r="P1113" s="20">
        <f>O1113-N1113</f>
        <v/>
      </c>
      <c r="Q1113" s="20">
        <f>P1113*E1113</f>
        <v/>
      </c>
      <c r="R1113" s="20" t="n"/>
    </row>
    <row r="1114" ht="20" customHeight="1" s="1">
      <c r="A1114" s="21" t="inlineStr">
        <is>
          <t>10236</t>
        </is>
      </c>
      <c r="B1114" s="22" t="inlineStr">
        <is>
          <t>Ozden</t>
        </is>
      </c>
      <c r="C1114" s="21" t="inlineStr">
        <is>
          <t>8697422822505</t>
        </is>
      </c>
      <c r="D1114" s="22" t="inlineStr">
        <is>
          <t>Smart osvej.dezo dl.obuvi Antibak 150 ml</t>
        </is>
      </c>
      <c r="E1114" s="23" t="n">
        <v>9.35</v>
      </c>
      <c r="F1114" s="24" t="n">
        <v>48</v>
      </c>
      <c r="G1114" s="24" t="n">
        <v>29</v>
      </c>
      <c r="H1114" s="23" t="n"/>
      <c r="I1114" s="23" t="n"/>
      <c r="J1114" s="23" t="n"/>
      <c r="K1114" s="19" t="n"/>
      <c r="L1114" s="19" t="n"/>
      <c r="M1114" s="20" t="n"/>
      <c r="N1114" s="20" t="n">
        <v>50</v>
      </c>
      <c r="O1114" s="20" t="n"/>
      <c r="P1114" s="20">
        <f>O1114-N1114</f>
        <v/>
      </c>
      <c r="Q1114" s="20">
        <f>P1114*E1114</f>
        <v/>
      </c>
      <c r="R1114" s="20" t="n"/>
    </row>
    <row r="1115" ht="20" customHeight="1" s="1">
      <c r="A1115" s="16" t="inlineStr">
        <is>
          <t>21148</t>
        </is>
      </c>
      <c r="B1115" s="17" t="inlineStr">
        <is>
          <t>Ozden</t>
        </is>
      </c>
      <c r="C1115" s="16" t="inlineStr">
        <is>
          <t>8697422828316</t>
        </is>
      </c>
      <c r="D1115" s="17" t="inlineStr">
        <is>
          <t>Smart Sneakers and Leather Shoes Sprey 200ml</t>
        </is>
      </c>
      <c r="E1115" s="18" t="n">
        <v>7.8</v>
      </c>
      <c r="F1115" s="25" t="n">
        <v>36</v>
      </c>
      <c r="G1115" s="25" t="n">
        <v>15</v>
      </c>
      <c r="H1115" s="18" t="n">
        <v>15</v>
      </c>
      <c r="I1115" s="18" t="n"/>
      <c r="J1115" s="18" t="n"/>
      <c r="K1115" s="19">
        <f>H1115+I1115+J1115</f>
        <v/>
      </c>
      <c r="L1115" s="19">
        <f>K1115-G1115</f>
        <v/>
      </c>
      <c r="M1115" s="20">
        <f>L1115*E1115</f>
        <v/>
      </c>
      <c r="N1115" s="20" t="n">
        <v>50</v>
      </c>
      <c r="O1115" s="20" t="n"/>
      <c r="P1115" s="20">
        <f>O1115-N1115</f>
        <v/>
      </c>
      <c r="Q1115" s="20">
        <f>P1115*E1115</f>
        <v/>
      </c>
      <c r="R1115" s="20" t="n"/>
    </row>
    <row r="1116" ht="20" customHeight="1" s="1">
      <c r="A1116" s="21" t="inlineStr">
        <is>
          <t>10095</t>
        </is>
      </c>
      <c r="B1116" s="22" t="inlineStr">
        <is>
          <t>Ozden</t>
        </is>
      </c>
      <c r="C1116" s="21" t="inlineStr">
        <is>
          <t>8697422822475</t>
        </is>
      </c>
      <c r="D1116" s="22" t="inlineStr">
        <is>
          <t>Smart Sprey kras.Zamshi  250ml cerniy</t>
        </is>
      </c>
      <c r="E1116" s="23" t="n">
        <v>8.6</v>
      </c>
      <c r="F1116" s="24" t="n">
        <v>48</v>
      </c>
      <c r="G1116" s="24" t="n">
        <v>213</v>
      </c>
      <c r="H1116" s="23" t="n">
        <v>21</v>
      </c>
      <c r="I1116" s="23" t="n">
        <v>192</v>
      </c>
      <c r="J1116" s="23" t="n"/>
      <c r="K1116" s="19">
        <f>H1116+I1116+J1116</f>
        <v/>
      </c>
      <c r="L1116" s="19">
        <f>K1116-G1116</f>
        <v/>
      </c>
      <c r="M1116" s="20">
        <f>L1116*E1116</f>
        <v/>
      </c>
      <c r="N1116" s="20" t="n">
        <v>50</v>
      </c>
      <c r="O1116" s="20" t="n"/>
      <c r="P1116" s="20">
        <f>O1116-N1116</f>
        <v/>
      </c>
      <c r="Q1116" s="20">
        <f>P1116*E1116</f>
        <v/>
      </c>
      <c r="R1116" s="20" t="n"/>
    </row>
    <row r="1117" ht="20" customHeight="1" s="1">
      <c r="A1117" s="16" t="inlineStr">
        <is>
          <t>10191</t>
        </is>
      </c>
      <c r="B1117" s="17" t="inlineStr">
        <is>
          <t>Ozden</t>
        </is>
      </c>
      <c r="C1117" s="16" t="inlineStr">
        <is>
          <t>8697422822499</t>
        </is>
      </c>
      <c r="D1117" s="17" t="inlineStr">
        <is>
          <t>Smart Sprey kras.Zamshi  250ml karic.</t>
        </is>
      </c>
      <c r="E1117" s="18" t="n">
        <v>8.85</v>
      </c>
      <c r="F1117" s="25" t="n">
        <v>48</v>
      </c>
      <c r="G1117" s="25" t="n">
        <v>91</v>
      </c>
      <c r="H1117" s="18" t="n">
        <v>30</v>
      </c>
      <c r="I1117" s="18" t="n">
        <v>60</v>
      </c>
      <c r="J1117" s="18" t="n">
        <v>1</v>
      </c>
      <c r="K1117" s="19">
        <f>H1117+I1117+J1117</f>
        <v/>
      </c>
      <c r="L1117" s="19">
        <f>K1117-G1117</f>
        <v/>
      </c>
      <c r="M1117" s="20">
        <f>L1117*E1117</f>
        <v/>
      </c>
      <c r="N1117" s="20" t="n">
        <v>50</v>
      </c>
      <c r="O1117" s="20" t="n"/>
      <c r="P1117" s="20">
        <f>O1117-N1117</f>
        <v/>
      </c>
      <c r="Q1117" s="20">
        <f>P1117*E1117</f>
        <v/>
      </c>
      <c r="R1117" s="20" t="n"/>
    </row>
    <row r="1118" ht="20" customHeight="1" s="1">
      <c r="A1118" s="21" t="inlineStr">
        <is>
          <t>10149</t>
        </is>
      </c>
      <c r="B1118" s="22" t="inlineStr">
        <is>
          <t>Ozden</t>
        </is>
      </c>
      <c r="C1118" s="21" t="inlineStr">
        <is>
          <t>8697422822215</t>
        </is>
      </c>
      <c r="D1118" s="22" t="inlineStr">
        <is>
          <t>Smart Sprey kras.Zamshi  250ml natural</t>
        </is>
      </c>
      <c r="E1118" s="23" t="n">
        <v>8.85</v>
      </c>
      <c r="F1118" s="24" t="n">
        <v>48</v>
      </c>
      <c r="G1118" s="24" t="n">
        <v>83</v>
      </c>
      <c r="H1118" s="23" t="n">
        <v>35</v>
      </c>
      <c r="I1118" s="23" t="n">
        <v>48</v>
      </c>
      <c r="J1118" s="23" t="n"/>
      <c r="K1118" s="19">
        <f>H1118+I1118+J1118</f>
        <v/>
      </c>
      <c r="L1118" s="19">
        <f>K1118-G1118</f>
        <v/>
      </c>
      <c r="M1118" s="20">
        <f>L1118*E1118</f>
        <v/>
      </c>
      <c r="N1118" s="20" t="n">
        <v>50</v>
      </c>
      <c r="O1118" s="20" t="n"/>
      <c r="P1118" s="20">
        <f>O1118-N1118</f>
        <v/>
      </c>
      <c r="Q1118" s="20">
        <f>P1118*E1118</f>
        <v/>
      </c>
      <c r="R1118" s="20" t="n"/>
    </row>
    <row r="1119" ht="20" customHeight="1" s="1">
      <c r="A1119" s="16" t="inlineStr">
        <is>
          <t>10370</t>
        </is>
      </c>
      <c r="B1119" s="17" t="inlineStr">
        <is>
          <t>Ozden</t>
        </is>
      </c>
      <c r="C1119" s="16" t="inlineStr">
        <is>
          <t>8697422821034</t>
        </is>
      </c>
      <c r="D1119" s="17" t="inlineStr">
        <is>
          <t>Smart Pena ocist.velur ,nab 300 ml</t>
        </is>
      </c>
      <c r="E1119" s="18" t="n">
        <v>6.4</v>
      </c>
      <c r="F1119" s="25" t="n">
        <v>24</v>
      </c>
      <c r="G1119" s="25" t="n">
        <v>4</v>
      </c>
      <c r="H1119" s="18" t="n">
        <v>4</v>
      </c>
      <c r="I1119" s="18" t="n"/>
      <c r="J1119" s="18" t="n"/>
      <c r="K1119" s="19">
        <f>H1119+I1119+J1119</f>
        <v/>
      </c>
      <c r="L1119" s="19">
        <f>K1119-G1119</f>
        <v/>
      </c>
      <c r="M1119" s="20">
        <f>L1119*E1119</f>
        <v/>
      </c>
      <c r="N1119" s="20" t="n">
        <v>50</v>
      </c>
      <c r="O1119" s="20" t="n">
        <v>50</v>
      </c>
      <c r="P1119" s="20">
        <f>O1119-N1119</f>
        <v/>
      </c>
      <c r="Q1119" s="20">
        <f>P1119*E1119</f>
        <v/>
      </c>
      <c r="R1119" s="20" t="inlineStr">
        <is>
          <t>Orxan</t>
        </is>
      </c>
    </row>
    <row r="1120" ht="20" customHeight="1" s="1">
      <c r="A1120" s="21" t="inlineStr">
        <is>
          <t>10051</t>
        </is>
      </c>
      <c r="B1120" s="22" t="inlineStr">
        <is>
          <t>Ozden</t>
        </is>
      </c>
      <c r="C1120" s="21" t="inlineStr">
        <is>
          <t>8697422822604</t>
        </is>
      </c>
      <c r="D1120" s="22" t="inlineStr">
        <is>
          <t>Smart Gozlu qubka cerniy</t>
        </is>
      </c>
      <c r="E1120" s="23" t="n">
        <v>4.1</v>
      </c>
      <c r="F1120" s="24" t="n">
        <v>48</v>
      </c>
      <c r="G1120" s="24" t="n">
        <v>263</v>
      </c>
      <c r="H1120" s="23" t="n">
        <v>96</v>
      </c>
      <c r="I1120" s="23" t="n">
        <v>167</v>
      </c>
      <c r="J1120" s="23" t="n"/>
      <c r="K1120" s="19">
        <f>H1120+I1120+J1120</f>
        <v/>
      </c>
      <c r="L1120" s="19">
        <f>K1120-G1120</f>
        <v/>
      </c>
      <c r="M1120" s="20">
        <f>L1120*E1120</f>
        <v/>
      </c>
      <c r="N1120" s="20" t="n">
        <v>50</v>
      </c>
      <c r="O1120" s="20" t="n"/>
      <c r="P1120" s="20">
        <f>O1120-N1120</f>
        <v/>
      </c>
      <c r="Q1120" s="20">
        <f>P1120*E1120</f>
        <v/>
      </c>
      <c r="R1120" s="20" t="n"/>
    </row>
    <row r="1121" ht="20" customHeight="1" s="1">
      <c r="A1121" s="16" t="inlineStr">
        <is>
          <t>10100</t>
        </is>
      </c>
      <c r="B1121" s="17" t="inlineStr">
        <is>
          <t>Ozden</t>
        </is>
      </c>
      <c r="C1121" s="16" t="inlineStr">
        <is>
          <t>8697422821584</t>
        </is>
      </c>
      <c r="D1121" s="17" t="inlineStr">
        <is>
          <t>Smart Gozlu qubka bescvetniy</t>
        </is>
      </c>
      <c r="E1121" s="18" t="n">
        <v>4.1</v>
      </c>
      <c r="F1121" s="25" t="n">
        <v>48</v>
      </c>
      <c r="G1121" s="25" t="n">
        <v>64</v>
      </c>
      <c r="H1121" s="18" t="n">
        <v>64</v>
      </c>
      <c r="I1121" s="18" t="n"/>
      <c r="J1121" s="18" t="n"/>
      <c r="K1121" s="19">
        <f>H1121+I1121+J1121</f>
        <v/>
      </c>
      <c r="L1121" s="19">
        <f>K1121-G1121</f>
        <v/>
      </c>
      <c r="M1121" s="20">
        <f>L1121*E1121</f>
        <v/>
      </c>
      <c r="N1121" s="20" t="n">
        <v>50</v>
      </c>
      <c r="O1121" s="20" t="n"/>
      <c r="P1121" s="20">
        <f>O1121-N1121</f>
        <v/>
      </c>
      <c r="Q1121" s="20">
        <f>P1121*E1121</f>
        <v/>
      </c>
      <c r="R1121" s="20" t="n"/>
    </row>
    <row r="1122" ht="20" customHeight="1" s="1">
      <c r="A1122" s="21" t="inlineStr">
        <is>
          <t>10609</t>
        </is>
      </c>
      <c r="B1122" s="22" t="inlineStr">
        <is>
          <t>Ozden</t>
        </is>
      </c>
      <c r="C1122" s="21" t="inlineStr">
        <is>
          <t>8697422823908</t>
        </is>
      </c>
      <c r="D1122" s="22" t="inlineStr">
        <is>
          <t>Smart Gozlu qubka AUTO Black</t>
        </is>
      </c>
      <c r="E1122" s="23" t="n">
        <v>4.3</v>
      </c>
      <c r="F1122" s="24" t="n">
        <v>48</v>
      </c>
      <c r="G1122" s="24" t="n">
        <v>28</v>
      </c>
      <c r="H1122" s="23" t="n">
        <v>28</v>
      </c>
      <c r="I1122" s="23" t="n"/>
      <c r="J1122" s="23" t="n"/>
      <c r="K1122" s="19">
        <f>H1122+I1122+J1122</f>
        <v/>
      </c>
      <c r="L1122" s="19">
        <f>K1122-G1122</f>
        <v/>
      </c>
      <c r="M1122" s="20">
        <f>L1122*E1122</f>
        <v/>
      </c>
      <c r="N1122" s="20" t="n">
        <v>50</v>
      </c>
      <c r="O1122" s="20" t="n"/>
      <c r="P1122" s="20">
        <f>O1122-N1122</f>
        <v/>
      </c>
      <c r="Q1122" s="20">
        <f>P1122*E1122</f>
        <v/>
      </c>
      <c r="R1122" s="20" t="n"/>
    </row>
    <row r="1123" ht="20" customHeight="1" s="1">
      <c r="A1123" s="16" t="inlineStr">
        <is>
          <t>10435</t>
        </is>
      </c>
      <c r="B1123" s="17" t="inlineStr">
        <is>
          <t>Ozden</t>
        </is>
      </c>
      <c r="C1123" s="16" t="inlineStr">
        <is>
          <t>8697422827210</t>
        </is>
      </c>
      <c r="D1123" s="17" t="inlineStr">
        <is>
          <t>Smart Gozlu qubka AUTO Natural</t>
        </is>
      </c>
      <c r="E1123" s="18" t="n">
        <v>4.3</v>
      </c>
      <c r="F1123" s="25" t="n">
        <v>48</v>
      </c>
      <c r="G1123" s="25" t="n">
        <v>195</v>
      </c>
      <c r="H1123" s="18" t="n">
        <v>99</v>
      </c>
      <c r="I1123" s="18" t="n">
        <v>96</v>
      </c>
      <c r="J1123" s="18" t="n"/>
      <c r="K1123" s="19">
        <f>H1123+I1123+J1123</f>
        <v/>
      </c>
      <c r="L1123" s="19">
        <f>K1123-G1123</f>
        <v/>
      </c>
      <c r="M1123" s="20">
        <f>L1123*E1123</f>
        <v/>
      </c>
      <c r="N1123" s="20" t="n">
        <v>50</v>
      </c>
      <c r="O1123" s="20" t="n"/>
      <c r="P1123" s="20">
        <f>O1123-N1123</f>
        <v/>
      </c>
      <c r="Q1123" s="20">
        <f>P1123*E1123</f>
        <v/>
      </c>
      <c r="R1123" s="20" t="n"/>
    </row>
    <row r="1124" ht="20" customHeight="1" s="1">
      <c r="A1124" s="21" t="inlineStr">
        <is>
          <t>10151</t>
        </is>
      </c>
      <c r="B1124" s="22" t="inlineStr">
        <is>
          <t>Ozden</t>
        </is>
      </c>
      <c r="C1124" s="21" t="inlineStr">
        <is>
          <t>8697422822741</t>
        </is>
      </c>
      <c r="D1124" s="22" t="inlineStr">
        <is>
          <t>Smart sotka Ayaqqabi ve Paltar</t>
        </is>
      </c>
      <c r="E1124" s="23" t="n">
        <v>8.1</v>
      </c>
      <c r="F1124" s="24" t="n">
        <v>48</v>
      </c>
      <c r="G1124" s="24" t="n">
        <v>52</v>
      </c>
      <c r="H1124" s="23" t="n">
        <v>52</v>
      </c>
      <c r="I1124" s="23" t="n"/>
      <c r="J1124" s="23" t="n"/>
      <c r="K1124" s="19">
        <f>H1124+I1124+J1124</f>
        <v/>
      </c>
      <c r="L1124" s="19">
        <f>K1124-G1124</f>
        <v/>
      </c>
      <c r="M1124" s="20">
        <f>L1124*E1124</f>
        <v/>
      </c>
      <c r="N1124" s="20" t="n">
        <v>50</v>
      </c>
      <c r="O1124" s="20" t="n"/>
      <c r="P1124" s="20">
        <f>O1124-N1124</f>
        <v/>
      </c>
      <c r="Q1124" s="20">
        <f>P1124*E1124</f>
        <v/>
      </c>
      <c r="R1124" s="20" t="n"/>
    </row>
    <row r="1125" ht="20" customHeight="1" s="1">
      <c r="A1125" s="16" t="inlineStr">
        <is>
          <t>10237</t>
        </is>
      </c>
      <c r="B1125" s="17" t="inlineStr">
        <is>
          <t>Ozden</t>
        </is>
      </c>
      <c r="C1125" s="16" t="inlineStr">
        <is>
          <t>8697422822659</t>
        </is>
      </c>
      <c r="D1125" s="17" t="inlineStr">
        <is>
          <t>Smart Rajok dabanliq</t>
        </is>
      </c>
      <c r="E1125" s="18" t="n">
        <v>2.95</v>
      </c>
      <c r="F1125" s="25" t="n">
        <v>48</v>
      </c>
      <c r="G1125" s="25" t="n">
        <v>45</v>
      </c>
      <c r="H1125" s="18" t="n">
        <v>45</v>
      </c>
      <c r="I1125" s="18" t="n"/>
      <c r="J1125" s="18" t="n"/>
      <c r="K1125" s="19">
        <f>H1125+I1125+J1125</f>
        <v/>
      </c>
      <c r="L1125" s="19">
        <f>K1125-G1125</f>
        <v/>
      </c>
      <c r="M1125" s="20">
        <f>L1125*E1125</f>
        <v/>
      </c>
      <c r="N1125" s="20" t="n">
        <v>50</v>
      </c>
      <c r="O1125" s="20" t="n"/>
      <c r="P1125" s="20">
        <f>O1125-N1125</f>
        <v/>
      </c>
      <c r="Q1125" s="20">
        <f>P1125*E1125</f>
        <v/>
      </c>
      <c r="R1125" s="20" t="n"/>
    </row>
    <row r="1126" ht="20" customHeight="1" s="1">
      <c r="A1126" s="21" t="inlineStr">
        <is>
          <t>19735</t>
        </is>
      </c>
      <c r="B1126" s="22" t="inlineStr">
        <is>
          <t>Ozden</t>
        </is>
      </c>
      <c r="C1126" s="21" t="inlineStr">
        <is>
          <t>8697422829580</t>
        </is>
      </c>
      <c r="D1126" s="22" t="inlineStr">
        <is>
          <t>Smart Athletic&amp;Sports Laces White one pair 120sm</t>
        </is>
      </c>
      <c r="E1126" s="23" t="n">
        <v>3.1</v>
      </c>
      <c r="F1126" s="24" t="n">
        <v>36</v>
      </c>
      <c r="G1126" s="24" t="n">
        <v>45</v>
      </c>
      <c r="H1126" s="23" t="n">
        <v>45</v>
      </c>
      <c r="I1126" s="23" t="n"/>
      <c r="J1126" s="23" t="n"/>
      <c r="K1126" s="19">
        <f>H1126+I1126+J1126</f>
        <v/>
      </c>
      <c r="L1126" s="19">
        <f>K1126-G1126</f>
        <v/>
      </c>
      <c r="M1126" s="20">
        <f>L1126*E1126</f>
        <v/>
      </c>
      <c r="N1126" s="20" t="n">
        <v>50</v>
      </c>
      <c r="O1126" s="20" t="n"/>
      <c r="P1126" s="20">
        <f>O1126-N1126</f>
        <v/>
      </c>
      <c r="Q1126" s="20">
        <f>P1126*E1126</f>
        <v/>
      </c>
      <c r="R1126" s="20" t="n"/>
    </row>
    <row r="1127" ht="20" customHeight="1" s="1">
      <c r="A1127" s="16" t="inlineStr">
        <is>
          <t>19736</t>
        </is>
      </c>
      <c r="B1127" s="17" t="inlineStr">
        <is>
          <t>Ozden</t>
        </is>
      </c>
      <c r="C1127" s="16" t="inlineStr">
        <is>
          <t>8697422829467</t>
        </is>
      </c>
      <c r="D1127" s="17" t="inlineStr">
        <is>
          <t>Smart Boot Laces Black one pair 120sm</t>
        </is>
      </c>
      <c r="E1127" s="18" t="n">
        <v>3.1</v>
      </c>
      <c r="F1127" s="25" t="n">
        <v>36</v>
      </c>
      <c r="G1127" s="25" t="n">
        <v>82</v>
      </c>
      <c r="H1127" s="18" t="n"/>
      <c r="I1127" s="18" t="n"/>
      <c r="J1127" s="18" t="n"/>
      <c r="K1127" s="19" t="n"/>
      <c r="L1127" s="19" t="n"/>
      <c r="M1127" s="20" t="n"/>
      <c r="N1127" s="20" t="n">
        <v>50</v>
      </c>
      <c r="O1127" s="20" t="n"/>
      <c r="P1127" s="20">
        <f>O1127-N1127</f>
        <v/>
      </c>
      <c r="Q1127" s="20">
        <f>P1127*E1127</f>
        <v/>
      </c>
      <c r="R1127" s="20" t="n"/>
    </row>
    <row r="1128" ht="20" customHeight="1" s="1">
      <c r="A1128" s="21" t="inlineStr">
        <is>
          <t>19737</t>
        </is>
      </c>
      <c r="B1128" s="22" t="inlineStr">
        <is>
          <t>Ozden</t>
        </is>
      </c>
      <c r="C1128" s="21" t="inlineStr">
        <is>
          <t>8697422829528</t>
        </is>
      </c>
      <c r="D1128" s="22" t="inlineStr">
        <is>
          <t>Smart Shoe Laces Black two pairs 69sm</t>
        </is>
      </c>
      <c r="E1128" s="23" t="n">
        <v>3.1</v>
      </c>
      <c r="F1128" s="24" t="n">
        <v>36</v>
      </c>
      <c r="G1128" s="24" t="n">
        <v>79</v>
      </c>
      <c r="H1128" s="23" t="n"/>
      <c r="I1128" s="23" t="n"/>
      <c r="J1128" s="23" t="n"/>
      <c r="K1128" s="19" t="n"/>
      <c r="L1128" s="19" t="n"/>
      <c r="M1128" s="20" t="n"/>
      <c r="N1128" s="20" t="n">
        <v>50</v>
      </c>
      <c r="O1128" s="20" t="n"/>
      <c r="P1128" s="20">
        <f>O1128-N1128</f>
        <v/>
      </c>
      <c r="Q1128" s="20">
        <f>P1128*E1128</f>
        <v/>
      </c>
      <c r="R1128" s="20" t="n"/>
    </row>
    <row r="1129" ht="20" customHeight="1" s="1">
      <c r="A1129" s="16" t="inlineStr">
        <is>
          <t>10631</t>
        </is>
      </c>
      <c r="B1129" s="17" t="inlineStr">
        <is>
          <t>Ozden</t>
        </is>
      </c>
      <c r="C1129" s="16" t="inlineStr">
        <is>
          <t>8697422827609</t>
        </is>
      </c>
      <c r="D1129" s="17" t="inlineStr">
        <is>
          <t>Smart cleaner 500 ml Chamomile</t>
        </is>
      </c>
      <c r="E1129" s="18" t="n">
        <v>4.55</v>
      </c>
      <c r="F1129" s="25" t="n">
        <v>24</v>
      </c>
      <c r="G1129" s="25" t="n">
        <v>142</v>
      </c>
      <c r="H1129" s="18" t="n">
        <v>96</v>
      </c>
      <c r="I1129" s="18" t="n">
        <v>45</v>
      </c>
      <c r="J1129" s="18" t="n">
        <v>1</v>
      </c>
      <c r="K1129" s="19">
        <f>H1129+I1129+J1129</f>
        <v/>
      </c>
      <c r="L1129" s="19">
        <f>K1129-G1129</f>
        <v/>
      </c>
      <c r="M1129" s="20">
        <f>L1129*E1129</f>
        <v/>
      </c>
      <c r="N1129" s="20" t="n">
        <v>50</v>
      </c>
      <c r="O1129" s="20" t="n"/>
      <c r="P1129" s="20">
        <f>O1129-N1129</f>
        <v/>
      </c>
      <c r="Q1129" s="20">
        <f>P1129*E1129</f>
        <v/>
      </c>
      <c r="R1129" s="20" t="n"/>
    </row>
    <row r="1130" ht="20" customHeight="1" s="1">
      <c r="A1130" s="21" t="inlineStr">
        <is>
          <t>10642</t>
        </is>
      </c>
      <c r="B1130" s="22" t="inlineStr">
        <is>
          <t>Ozden</t>
        </is>
      </c>
      <c r="C1130" s="21" t="inlineStr">
        <is>
          <t>8697422827586</t>
        </is>
      </c>
      <c r="D1130" s="22" t="inlineStr">
        <is>
          <t>Smart cleaner 500 ml Orange</t>
        </is>
      </c>
      <c r="E1130" s="23" t="n">
        <v>4.55</v>
      </c>
      <c r="F1130" s="24" t="n">
        <v>24</v>
      </c>
      <c r="G1130" s="24" t="n">
        <v>102</v>
      </c>
      <c r="H1130" s="23" t="n">
        <v>96</v>
      </c>
      <c r="I1130" s="23" t="n">
        <v>6</v>
      </c>
      <c r="J1130" s="23" t="n"/>
      <c r="K1130" s="19">
        <f>H1130+I1130+J1130</f>
        <v/>
      </c>
      <c r="L1130" s="19">
        <f>K1130-G1130</f>
        <v/>
      </c>
      <c r="M1130" s="20">
        <f>L1130*E1130</f>
        <v/>
      </c>
      <c r="N1130" s="20" t="n">
        <v>50</v>
      </c>
      <c r="O1130" s="20" t="n"/>
      <c r="P1130" s="20">
        <f>O1130-N1130</f>
        <v/>
      </c>
      <c r="Q1130" s="20">
        <f>P1130*E1130</f>
        <v/>
      </c>
      <c r="R1130" s="20" t="n"/>
    </row>
    <row r="1131" ht="20" customHeight="1" s="1">
      <c r="A1131" s="16" t="inlineStr">
        <is>
          <t>10690</t>
        </is>
      </c>
      <c r="B1131" s="17" t="inlineStr">
        <is>
          <t>Ozden</t>
        </is>
      </c>
      <c r="C1131" s="16" t="inlineStr">
        <is>
          <t>8697422827593</t>
        </is>
      </c>
      <c r="D1131" s="17" t="inlineStr">
        <is>
          <t>Smart cleaner 500 ml Berry Mix</t>
        </is>
      </c>
      <c r="E1131" s="18" t="n">
        <v>4.55</v>
      </c>
      <c r="F1131" s="25" t="n">
        <v>24</v>
      </c>
      <c r="G1131" s="25" t="n">
        <v>110</v>
      </c>
      <c r="H1131" s="18" t="n">
        <v>48</v>
      </c>
      <c r="I1131" s="18" t="n">
        <v>24</v>
      </c>
      <c r="J1131" s="18" t="n">
        <v>38</v>
      </c>
      <c r="K1131" s="19">
        <f>H1131+I1131+J1131</f>
        <v/>
      </c>
      <c r="L1131" s="19">
        <f>K1131-G1131</f>
        <v/>
      </c>
      <c r="M1131" s="20">
        <f>L1131*E1131</f>
        <v/>
      </c>
      <c r="N1131" s="20" t="n">
        <v>50</v>
      </c>
      <c r="O1131" s="20" t="n"/>
      <c r="P1131" s="20">
        <f>O1131-N1131</f>
        <v/>
      </c>
      <c r="Q1131" s="20">
        <f>P1131*E1131</f>
        <v/>
      </c>
      <c r="R1131" s="20" t="n"/>
    </row>
    <row r="1132" ht="20" customHeight="1" s="1">
      <c r="A1132" s="21" t="inlineStr">
        <is>
          <t>10533</t>
        </is>
      </c>
      <c r="B1132" s="22" t="inlineStr">
        <is>
          <t>Ozden</t>
        </is>
      </c>
      <c r="C1132" s="21" t="inlineStr">
        <is>
          <t>8697422827579</t>
        </is>
      </c>
      <c r="D1132" s="22" t="inlineStr">
        <is>
          <t>Smart cleaner 500 ml Lemon</t>
        </is>
      </c>
      <c r="E1132" s="23" t="n">
        <v>4.55</v>
      </c>
      <c r="F1132" s="24" t="n">
        <v>24</v>
      </c>
      <c r="G1132" s="24" t="n">
        <v>69</v>
      </c>
      <c r="H1132" s="23" t="n">
        <v>48</v>
      </c>
      <c r="I1132" s="23" t="n">
        <v>21</v>
      </c>
      <c r="J1132" s="23" t="n"/>
      <c r="K1132" s="19">
        <f>H1132+I1132+J1132</f>
        <v/>
      </c>
      <c r="L1132" s="19">
        <f>K1132-G1132</f>
        <v/>
      </c>
      <c r="M1132" s="20">
        <f>L1132*E1132</f>
        <v/>
      </c>
      <c r="N1132" s="20" t="n">
        <v>50</v>
      </c>
      <c r="O1132" s="20" t="n"/>
      <c r="P1132" s="20">
        <f>O1132-N1132</f>
        <v/>
      </c>
      <c r="Q1132" s="20">
        <f>P1132*E1132</f>
        <v/>
      </c>
      <c r="R1132" s="20" t="n"/>
    </row>
    <row r="1133" ht="20" customHeight="1" s="1">
      <c r="A1133" s="16" t="inlineStr">
        <is>
          <t>16701</t>
        </is>
      </c>
      <c r="B1133" s="17" t="inlineStr">
        <is>
          <t>Ozden</t>
        </is>
      </c>
      <c r="C1133" s="16" t="inlineStr">
        <is>
          <t>8697422828453</t>
        </is>
      </c>
      <c r="D1133" s="17" t="inlineStr">
        <is>
          <t>Smart cleaner 500 ml Herbal Cleaner</t>
        </is>
      </c>
      <c r="E1133" s="18" t="n">
        <v>5.05</v>
      </c>
      <c r="F1133" s="25" t="n">
        <v>24</v>
      </c>
      <c r="G1133" s="25" t="n">
        <v>38</v>
      </c>
      <c r="H1133" s="18" t="n">
        <v>38</v>
      </c>
      <c r="I1133" s="18" t="n"/>
      <c r="J1133" s="18" t="n"/>
      <c r="K1133" s="19">
        <f>H1133+I1133+J1133</f>
        <v/>
      </c>
      <c r="L1133" s="19">
        <f>K1133-G1133</f>
        <v/>
      </c>
      <c r="M1133" s="20">
        <f>L1133*E1133</f>
        <v/>
      </c>
      <c r="N1133" s="20" t="n">
        <v>50</v>
      </c>
      <c r="O1133" s="20" t="n"/>
      <c r="P1133" s="20">
        <f>O1133-N1133</f>
        <v/>
      </c>
      <c r="Q1133" s="20">
        <f>P1133*E1133</f>
        <v/>
      </c>
      <c r="R1133" s="20" t="n"/>
    </row>
    <row r="1134" ht="20" customHeight="1" s="1">
      <c r="A1134" s="21" t="inlineStr">
        <is>
          <t>17871</t>
        </is>
      </c>
      <c r="B1134" s="22" t="inlineStr">
        <is>
          <t>Ozden</t>
        </is>
      </c>
      <c r="C1134" s="21" t="inlineStr">
        <is>
          <t>8697422828491</t>
        </is>
      </c>
      <c r="D1134" s="22" t="inlineStr">
        <is>
          <t>Smart cleaner 500 ml Multi Purpose Auto (Koja)</t>
        </is>
      </c>
      <c r="E1134" s="23" t="n">
        <v>5.05</v>
      </c>
      <c r="F1134" s="24" t="n">
        <v>24</v>
      </c>
      <c r="G1134" s="24" t="n">
        <v>23</v>
      </c>
      <c r="H1134" s="23" t="n">
        <v>23</v>
      </c>
      <c r="I1134" s="23" t="n"/>
      <c r="J1134" s="23" t="n"/>
      <c r="K1134" s="19">
        <f>H1134+I1134+J1134</f>
        <v/>
      </c>
      <c r="L1134" s="19">
        <f>K1134-G1134</f>
        <v/>
      </c>
      <c r="M1134" s="20">
        <f>L1134*E1134</f>
        <v/>
      </c>
      <c r="N1134" s="20" t="n">
        <v>50</v>
      </c>
      <c r="O1134" s="20" t="n"/>
      <c r="P1134" s="20">
        <f>O1134-N1134</f>
        <v/>
      </c>
      <c r="Q1134" s="20">
        <f>P1134*E1134</f>
        <v/>
      </c>
      <c r="R1134" s="20" t="n"/>
    </row>
    <row r="1135" ht="20" customHeight="1" s="1">
      <c r="A1135" s="16" t="inlineStr">
        <is>
          <t>17872</t>
        </is>
      </c>
      <c r="B1135" s="17" t="inlineStr">
        <is>
          <t>Ozden</t>
        </is>
      </c>
      <c r="C1135" s="16" t="inlineStr">
        <is>
          <t>8697422828569</t>
        </is>
      </c>
      <c r="D1135" s="17" t="inlineStr">
        <is>
          <t>Smart cleaner 500 ml Headlight Auto (Fara)</t>
        </is>
      </c>
      <c r="E1135" s="18" t="n">
        <v>5.05</v>
      </c>
      <c r="F1135" s="25" t="n">
        <v>24</v>
      </c>
      <c r="G1135" s="25" t="n">
        <v>39</v>
      </c>
      <c r="H1135" s="18" t="n">
        <v>39</v>
      </c>
      <c r="I1135" s="18" t="n"/>
      <c r="J1135" s="18" t="n"/>
      <c r="K1135" s="19">
        <f>H1135+I1135+J1135</f>
        <v/>
      </c>
      <c r="L1135" s="19">
        <f>K1135-G1135</f>
        <v/>
      </c>
      <c r="M1135" s="20">
        <f>L1135*E1135</f>
        <v/>
      </c>
      <c r="N1135" s="20" t="n">
        <v>50</v>
      </c>
      <c r="O1135" s="20" t="n"/>
      <c r="P1135" s="20">
        <f>O1135-N1135</f>
        <v/>
      </c>
      <c r="Q1135" s="20">
        <f>P1135*E1135</f>
        <v/>
      </c>
      <c r="R1135" s="20" t="n"/>
    </row>
    <row r="1136" ht="20" customHeight="1" s="1">
      <c r="A1136" s="21" t="inlineStr">
        <is>
          <t>11386</t>
        </is>
      </c>
      <c r="B1136" s="22" t="inlineStr">
        <is>
          <t>Ozden</t>
        </is>
      </c>
      <c r="C1136" s="21" t="inlineStr">
        <is>
          <t>8697422827654</t>
        </is>
      </c>
      <c r="D1136" s="22" t="inlineStr">
        <is>
          <t>Smart teker qaraldan 500 ml</t>
        </is>
      </c>
      <c r="E1136" s="23" t="n">
        <v>7.5</v>
      </c>
      <c r="F1136" s="24" t="n">
        <v>24</v>
      </c>
      <c r="G1136" s="24" t="n">
        <v>49</v>
      </c>
      <c r="H1136" s="23" t="n">
        <v>24</v>
      </c>
      <c r="I1136" s="23" t="n">
        <v>24</v>
      </c>
      <c r="J1136" s="23" t="n">
        <v>1</v>
      </c>
      <c r="K1136" s="19">
        <f>H1136+I1136+J1136</f>
        <v/>
      </c>
      <c r="L1136" s="19">
        <f>K1136-G1136</f>
        <v/>
      </c>
      <c r="M1136" s="20">
        <f>L1136*E1136</f>
        <v/>
      </c>
      <c r="N1136" s="20" t="n">
        <v>50</v>
      </c>
      <c r="O1136" s="20" t="n"/>
      <c r="P1136" s="20">
        <f>O1136-N1136</f>
        <v/>
      </c>
      <c r="Q1136" s="20">
        <f>P1136*E1136</f>
        <v/>
      </c>
      <c r="R1136" s="20" t="n"/>
    </row>
    <row r="1137" ht="20" customHeight="1" s="1">
      <c r="A1137" s="16" t="inlineStr">
        <is>
          <t>18921</t>
        </is>
      </c>
      <c r="B1137" s="17" t="inlineStr">
        <is>
          <t>Ozden</t>
        </is>
      </c>
      <c r="C1137" s="16" t="inlineStr">
        <is>
          <t>8697422829269</t>
        </is>
      </c>
      <c r="D1137" s="17" t="inlineStr">
        <is>
          <t>Smart Kitchen dux. i mikr.pec 500ml Oranje</t>
        </is>
      </c>
      <c r="E1137" s="18" t="n">
        <v>6.9</v>
      </c>
      <c r="F1137" s="25" t="n">
        <v>24</v>
      </c>
      <c r="G1137" s="25" t="n">
        <v>89</v>
      </c>
      <c r="H1137" s="18" t="n"/>
      <c r="I1137" s="18" t="n"/>
      <c r="J1137" s="18" t="n"/>
      <c r="K1137" s="19" t="n"/>
      <c r="L1137" s="19" t="n"/>
      <c r="M1137" s="20" t="n"/>
      <c r="N1137" s="20" t="n">
        <v>50</v>
      </c>
      <c r="O1137" s="20" t="n"/>
      <c r="P1137" s="20">
        <f>O1137-N1137</f>
        <v/>
      </c>
      <c r="Q1137" s="20">
        <f>P1137*E1137</f>
        <v/>
      </c>
      <c r="R1137" s="20" t="n"/>
    </row>
    <row r="1138" ht="20" customHeight="1" s="1">
      <c r="A1138" s="21" t="inlineStr">
        <is>
          <t>18922</t>
        </is>
      </c>
      <c r="B1138" s="22" t="inlineStr">
        <is>
          <t>Ozden</t>
        </is>
      </c>
      <c r="C1138" s="21" t="inlineStr">
        <is>
          <t>8697422829252</t>
        </is>
      </c>
      <c r="D1138" s="22" t="inlineStr">
        <is>
          <t>Smart Kitchen dux. i mikr.pec 500ml Lemon</t>
        </is>
      </c>
      <c r="E1138" s="23" t="n">
        <v>6.9</v>
      </c>
      <c r="F1138" s="24" t="n">
        <v>24</v>
      </c>
      <c r="G1138" s="24" t="n">
        <v>58</v>
      </c>
      <c r="H1138" s="23" t="n"/>
      <c r="I1138" s="23" t="n"/>
      <c r="J1138" s="23" t="n"/>
      <c r="K1138" s="19" t="n"/>
      <c r="L1138" s="19" t="n"/>
      <c r="M1138" s="20" t="n"/>
      <c r="N1138" s="20" t="n">
        <v>50</v>
      </c>
      <c r="O1138" s="20" t="n"/>
      <c r="P1138" s="20">
        <f>O1138-N1138</f>
        <v/>
      </c>
      <c r="Q1138" s="20">
        <f>P1138*E1138</f>
        <v/>
      </c>
      <c r="R1138" s="20" t="n"/>
    </row>
    <row r="1139" ht="20" customHeight="1" s="1">
      <c r="A1139" s="16" t="inlineStr">
        <is>
          <t>18923</t>
        </is>
      </c>
      <c r="B1139" s="17" t="inlineStr">
        <is>
          <t>Ozden</t>
        </is>
      </c>
      <c r="C1139" s="16" t="inlineStr">
        <is>
          <t>8697422829276</t>
        </is>
      </c>
      <c r="D1139" s="17" t="inlineStr">
        <is>
          <t>Smart Bathroom santexnika 500ml</t>
        </is>
      </c>
      <c r="E1139" s="18" t="n">
        <v>6.9</v>
      </c>
      <c r="F1139" s="25" t="n">
        <v>24</v>
      </c>
      <c r="G1139" s="25" t="n">
        <v>57</v>
      </c>
      <c r="H1139" s="18" t="n">
        <v>27</v>
      </c>
      <c r="I1139" s="18" t="n">
        <v>24</v>
      </c>
      <c r="J1139" s="18" t="n">
        <v>6</v>
      </c>
      <c r="K1139" s="19">
        <f>H1139+I1139+J1139</f>
        <v/>
      </c>
      <c r="L1139" s="19">
        <f>K1139-G1139</f>
        <v/>
      </c>
      <c r="M1139" s="20">
        <f>L1139*E1139</f>
        <v/>
      </c>
      <c r="N1139" s="20" t="n">
        <v>50</v>
      </c>
      <c r="O1139" s="20" t="n"/>
      <c r="P1139" s="20">
        <f>O1139-N1139</f>
        <v/>
      </c>
      <c r="Q1139" s="20">
        <f>P1139*E1139</f>
        <v/>
      </c>
      <c r="R1139" s="20" t="n"/>
    </row>
    <row r="1140" ht="20" customHeight="1" s="1">
      <c r="A1140" s="21" t="inlineStr">
        <is>
          <t>21151</t>
        </is>
      </c>
      <c r="B1140" s="22" t="inlineStr">
        <is>
          <t>Ozden</t>
        </is>
      </c>
      <c r="C1140" s="21" t="inlineStr">
        <is>
          <t>8697422826213</t>
        </is>
      </c>
      <c r="D1140" s="22" t="inlineStr">
        <is>
          <t>Smart tualet temizleme Chamomil 600ml</t>
        </is>
      </c>
      <c r="E1140" s="23" t="n">
        <v>7.1</v>
      </c>
      <c r="F1140" s="24" t="n">
        <v>24</v>
      </c>
      <c r="G1140" s="24" t="n">
        <v>16</v>
      </c>
      <c r="H1140" s="23" t="n">
        <v>16</v>
      </c>
      <c r="I1140" s="23" t="n"/>
      <c r="J1140" s="23" t="n"/>
      <c r="K1140" s="19">
        <f>H1140+I1140+J1140</f>
        <v/>
      </c>
      <c r="L1140" s="19">
        <f>K1140-G1140</f>
        <v/>
      </c>
      <c r="M1140" s="20">
        <f>L1140*E1140</f>
        <v/>
      </c>
      <c r="N1140" s="20" t="n">
        <v>50</v>
      </c>
      <c r="O1140" s="20" t="n"/>
      <c r="P1140" s="20">
        <f>O1140-N1140</f>
        <v/>
      </c>
      <c r="Q1140" s="20">
        <f>P1140*E1140</f>
        <v/>
      </c>
      <c r="R1140" s="20" t="n"/>
    </row>
    <row r="1141" ht="20" customHeight="1" s="1">
      <c r="A1141" s="16" t="inlineStr">
        <is>
          <t>21150</t>
        </is>
      </c>
      <c r="B1141" s="17" t="inlineStr">
        <is>
          <t>Ozden</t>
        </is>
      </c>
      <c r="C1141" s="16" t="inlineStr">
        <is>
          <t>8697422826107</t>
        </is>
      </c>
      <c r="D1141" s="17" t="inlineStr">
        <is>
          <t>Smart tualet temizleme Limon 600ml</t>
        </is>
      </c>
      <c r="E1141" s="18" t="n">
        <v>7.1</v>
      </c>
      <c r="F1141" s="25" t="n">
        <v>24</v>
      </c>
      <c r="G1141" s="25" t="n">
        <v>21</v>
      </c>
      <c r="H1141" s="18" t="n">
        <v>21</v>
      </c>
      <c r="I1141" s="18" t="n"/>
      <c r="J1141" s="18" t="n"/>
      <c r="K1141" s="19">
        <f>H1141+I1141+J1141</f>
        <v/>
      </c>
      <c r="L1141" s="19">
        <f>K1141-G1141</f>
        <v/>
      </c>
      <c r="M1141" s="20">
        <f>L1141*E1141</f>
        <v/>
      </c>
      <c r="N1141" s="20" t="n">
        <v>50</v>
      </c>
      <c r="O1141" s="20" t="n"/>
      <c r="P1141" s="20">
        <f>O1141-N1141</f>
        <v/>
      </c>
      <c r="Q1141" s="20">
        <f>P1141*E1141</f>
        <v/>
      </c>
      <c r="R1141" s="20" t="n"/>
    </row>
    <row r="1142" ht="20" customHeight="1" s="1">
      <c r="A1142" s="21" t="inlineStr">
        <is>
          <t>21149</t>
        </is>
      </c>
      <c r="B1142" s="22" t="inlineStr">
        <is>
          <t>Ozden</t>
        </is>
      </c>
      <c r="C1142" s="21" t="inlineStr">
        <is>
          <t>8697422826237</t>
        </is>
      </c>
      <c r="D1142" s="22" t="inlineStr">
        <is>
          <t>Smart tualet temizleme Wild Rose 600ml</t>
        </is>
      </c>
      <c r="E1142" s="23" t="n">
        <v>7.1</v>
      </c>
      <c r="F1142" s="24" t="n">
        <v>24</v>
      </c>
      <c r="G1142" s="24" t="n">
        <v>4</v>
      </c>
      <c r="H1142" s="23" t="n">
        <v>4</v>
      </c>
      <c r="I1142" s="23" t="n"/>
      <c r="J1142" s="23" t="n"/>
      <c r="K1142" s="19">
        <f>H1142+I1142+J1142</f>
        <v/>
      </c>
      <c r="L1142" s="19">
        <f>K1142-G1142</f>
        <v/>
      </c>
      <c r="M1142" s="20">
        <f>L1142*E1142</f>
        <v/>
      </c>
      <c r="N1142" s="20" t="n">
        <v>50</v>
      </c>
      <c r="O1142" s="20" t="n"/>
      <c r="P1142" s="20">
        <f>O1142-N1142</f>
        <v/>
      </c>
      <c r="Q1142" s="20">
        <f>P1142*E1142</f>
        <v/>
      </c>
      <c r="R1142" s="20" t="n"/>
    </row>
    <row r="1143" ht="20" customHeight="1" s="1">
      <c r="A1143" s="16" t="inlineStr">
        <is>
          <t>15961</t>
        </is>
      </c>
      <c r="B1143" s="17" t="inlineStr">
        <is>
          <t>Ozden</t>
        </is>
      </c>
      <c r="C1143" s="16" t="inlineStr">
        <is>
          <t>8697422822185</t>
        </is>
      </c>
      <c r="D1143" s="17" t="inlineStr">
        <is>
          <t>Asimo laminat care Lavanta 1000ml</t>
        </is>
      </c>
      <c r="E1143" s="18" t="n">
        <v>7.9</v>
      </c>
      <c r="F1143" s="25" t="n">
        <v>12</v>
      </c>
      <c r="G1143" s="25" t="n">
        <v>12</v>
      </c>
      <c r="H1143" s="18" t="n">
        <v>12</v>
      </c>
      <c r="I1143" s="18" t="n"/>
      <c r="J1143" s="18" t="n"/>
      <c r="K1143" s="19">
        <f>H1143+I1143+J1143</f>
        <v/>
      </c>
      <c r="L1143" s="19">
        <f>K1143-G1143</f>
        <v/>
      </c>
      <c r="M1143" s="20">
        <f>L1143*E1143</f>
        <v/>
      </c>
      <c r="N1143" s="20" t="n">
        <v>50</v>
      </c>
      <c r="O1143" s="20" t="n"/>
      <c r="P1143" s="20">
        <f>O1143-N1143</f>
        <v/>
      </c>
      <c r="Q1143" s="20">
        <f>P1143*E1143</f>
        <v/>
      </c>
      <c r="R1143" s="20" t="n"/>
    </row>
    <row r="1144" ht="20" customHeight="1" s="1">
      <c r="A1144" s="21" t="inlineStr">
        <is>
          <t>15964</t>
        </is>
      </c>
      <c r="B1144" s="22" t="inlineStr">
        <is>
          <t>Ozden</t>
        </is>
      </c>
      <c r="C1144" s="21" t="inlineStr">
        <is>
          <t>8697422822222</t>
        </is>
      </c>
      <c r="D1144" s="22" t="inlineStr">
        <is>
          <t xml:space="preserve">Osvij Smart Collection Qel 150q Okian </t>
        </is>
      </c>
      <c r="E1144" s="23" t="n">
        <v>3.45</v>
      </c>
      <c r="F1144" s="24" t="n">
        <v>48</v>
      </c>
      <c r="G1144" s="24" t="n">
        <v>51</v>
      </c>
      <c r="H1144" s="23" t="n">
        <v>51</v>
      </c>
      <c r="I1144" s="23" t="n"/>
      <c r="J1144" s="23" t="n"/>
      <c r="K1144" s="19">
        <f>H1144+I1144+J1144</f>
        <v/>
      </c>
      <c r="L1144" s="19">
        <f>K1144-G1144</f>
        <v/>
      </c>
      <c r="M1144" s="20">
        <f>L1144*E1144</f>
        <v/>
      </c>
      <c r="N1144" s="20" t="n">
        <v>50</v>
      </c>
      <c r="O1144" s="20" t="n"/>
      <c r="P1144" s="20">
        <f>O1144-N1144</f>
        <v/>
      </c>
      <c r="Q1144" s="20">
        <f>P1144*E1144</f>
        <v/>
      </c>
      <c r="R1144" s="20" t="n"/>
    </row>
    <row r="1145" ht="20" customHeight="1" s="1">
      <c r="A1145" s="16" t="inlineStr">
        <is>
          <t>15966</t>
        </is>
      </c>
      <c r="B1145" s="17" t="inlineStr">
        <is>
          <t>Ozden</t>
        </is>
      </c>
      <c r="C1145" s="16" t="inlineStr">
        <is>
          <t>8697422825360</t>
        </is>
      </c>
      <c r="D1145" s="17" t="inlineStr">
        <is>
          <t>Osvij Smart Collection Qel 150q Waterfall</t>
        </is>
      </c>
      <c r="E1145" s="18" t="n">
        <v>3.45</v>
      </c>
      <c r="F1145" s="25" t="n">
        <v>48</v>
      </c>
      <c r="G1145" s="25" t="n">
        <v>61</v>
      </c>
      <c r="H1145" s="18" t="n">
        <v>61</v>
      </c>
      <c r="I1145" s="18" t="n"/>
      <c r="J1145" s="18" t="n"/>
      <c r="K1145" s="19">
        <f>H1145+I1145+J1145</f>
        <v/>
      </c>
      <c r="L1145" s="19">
        <f>K1145-G1145</f>
        <v/>
      </c>
      <c r="M1145" s="20">
        <f>L1145*E1145</f>
        <v/>
      </c>
      <c r="N1145" s="20" t="n">
        <v>50</v>
      </c>
      <c r="O1145" s="20" t="n"/>
      <c r="P1145" s="20">
        <f>O1145-N1145</f>
        <v/>
      </c>
      <c r="Q1145" s="20">
        <f>P1145*E1145</f>
        <v/>
      </c>
      <c r="R1145" s="20" t="n"/>
    </row>
    <row r="1146" ht="20" customHeight="1" s="1">
      <c r="A1146" s="21" t="inlineStr">
        <is>
          <t>15963</t>
        </is>
      </c>
      <c r="B1146" s="22" t="inlineStr">
        <is>
          <t>Ozden</t>
        </is>
      </c>
      <c r="C1146" s="21" t="inlineStr">
        <is>
          <t>8697422823632</t>
        </is>
      </c>
      <c r="D1146" s="22" t="inlineStr">
        <is>
          <t>Osvij Smart Collection Qel 150q Berry</t>
        </is>
      </c>
      <c r="E1146" s="23" t="n">
        <v>3.45</v>
      </c>
      <c r="F1146" s="24" t="n">
        <v>48</v>
      </c>
      <c r="G1146" s="24" t="n">
        <v>76</v>
      </c>
      <c r="H1146" s="23" t="n">
        <v>48</v>
      </c>
      <c r="I1146" s="23" t="n">
        <v>28</v>
      </c>
      <c r="J1146" s="23" t="n"/>
      <c r="K1146" s="19">
        <f>H1146+I1146+J1146</f>
        <v/>
      </c>
      <c r="L1146" s="19">
        <f>K1146-G1146</f>
        <v/>
      </c>
      <c r="M1146" s="20">
        <f>L1146*E1146</f>
        <v/>
      </c>
      <c r="N1146" s="20" t="n">
        <v>50</v>
      </c>
      <c r="O1146" s="20" t="n"/>
      <c r="P1146" s="20">
        <f>O1146-N1146</f>
        <v/>
      </c>
      <c r="Q1146" s="20">
        <f>P1146*E1146</f>
        <v/>
      </c>
      <c r="R1146" s="20" t="n"/>
    </row>
    <row r="1147" ht="20" customHeight="1" s="1">
      <c r="A1147" s="16" t="inlineStr">
        <is>
          <t>15965</t>
        </is>
      </c>
      <c r="B1147" s="17" t="inlineStr">
        <is>
          <t>Ozden</t>
        </is>
      </c>
      <c r="C1147" s="16" t="inlineStr">
        <is>
          <t>8697422826695</t>
        </is>
      </c>
      <c r="D1147" s="17" t="inlineStr">
        <is>
          <t>Osvij Smart Collection Qel 150q Lemon</t>
        </is>
      </c>
      <c r="E1147" s="18" t="n">
        <v>3.45</v>
      </c>
      <c r="F1147" s="25" t="n">
        <v>48</v>
      </c>
      <c r="G1147" s="25" t="n">
        <v>30</v>
      </c>
      <c r="H1147" s="18" t="n"/>
      <c r="I1147" s="18" t="n"/>
      <c r="J1147" s="18" t="n"/>
      <c r="K1147" s="19" t="n"/>
      <c r="L1147" s="19" t="n"/>
      <c r="M1147" s="20" t="n"/>
      <c r="N1147" s="20" t="n">
        <v>50</v>
      </c>
      <c r="O1147" s="20" t="n"/>
      <c r="P1147" s="20">
        <f>O1147-N1147</f>
        <v/>
      </c>
      <c r="Q1147" s="20">
        <f>P1147*E1147</f>
        <v/>
      </c>
      <c r="R1147" s="20" t="n"/>
    </row>
    <row r="1148" ht="20" customHeight="1" s="1">
      <c r="A1148" s="21" t="inlineStr">
        <is>
          <t>15967</t>
        </is>
      </c>
      <c r="B1148" s="22" t="inlineStr">
        <is>
          <t>Ozden</t>
        </is>
      </c>
      <c r="C1148" s="21" t="inlineStr">
        <is>
          <t>8697422822239</t>
        </is>
      </c>
      <c r="D1148" s="22" t="inlineStr">
        <is>
          <t>Osvij Smart Collection Qel 150q Incense</t>
        </is>
      </c>
      <c r="E1148" s="23" t="n">
        <v>3.45</v>
      </c>
      <c r="F1148" s="24" t="n">
        <v>48</v>
      </c>
      <c r="G1148" s="24" t="n">
        <v>51</v>
      </c>
      <c r="H1148" s="23" t="n">
        <v>51</v>
      </c>
      <c r="I1148" s="23" t="n"/>
      <c r="J1148" s="23" t="n"/>
      <c r="K1148" s="19">
        <f>H1148+I1148+J1148</f>
        <v/>
      </c>
      <c r="L1148" s="19">
        <f>K1148-G1148</f>
        <v/>
      </c>
      <c r="M1148" s="20">
        <f>L1148*E1148</f>
        <v/>
      </c>
      <c r="N1148" s="20" t="n">
        <v>50</v>
      </c>
      <c r="O1148" s="20" t="n"/>
      <c r="P1148" s="20">
        <f>O1148-N1148</f>
        <v/>
      </c>
      <c r="Q1148" s="20">
        <f>P1148*E1148</f>
        <v/>
      </c>
      <c r="R1148" s="20" t="n"/>
    </row>
    <row r="1149" ht="20" customHeight="1" s="1">
      <c r="A1149" s="16" t="inlineStr">
        <is>
          <t>18075</t>
        </is>
      </c>
      <c r="B1149" s="17" t="inlineStr">
        <is>
          <t>Ozden</t>
        </is>
      </c>
      <c r="C1149" s="16" t="inlineStr">
        <is>
          <t>8697422825407</t>
        </is>
      </c>
      <c r="D1149" s="17" t="inlineStr">
        <is>
          <t>Osvij Smart Collection Qel 150q Vanila</t>
        </is>
      </c>
      <c r="E1149" s="18" t="n">
        <v>3.45</v>
      </c>
      <c r="F1149" s="25" t="n">
        <v>48</v>
      </c>
      <c r="G1149" s="25" t="n">
        <v>104</v>
      </c>
      <c r="H1149" s="18" t="n">
        <v>104</v>
      </c>
      <c r="I1149" s="18" t="n"/>
      <c r="J1149" s="18" t="n"/>
      <c r="K1149" s="19">
        <f>H1149+I1149+J1149</f>
        <v/>
      </c>
      <c r="L1149" s="19">
        <f>K1149-G1149</f>
        <v/>
      </c>
      <c r="M1149" s="20">
        <f>L1149*E1149</f>
        <v/>
      </c>
      <c r="N1149" s="20" t="n">
        <v>50</v>
      </c>
      <c r="O1149" s="20" t="n"/>
      <c r="P1149" s="20">
        <f>O1149-N1149</f>
        <v/>
      </c>
      <c r="Q1149" s="20">
        <f>P1149*E1149</f>
        <v/>
      </c>
      <c r="R1149" s="20" t="n"/>
    </row>
    <row r="1150" ht="20" customHeight="1" s="1">
      <c r="A1150" s="21" t="inlineStr">
        <is>
          <t>15968</t>
        </is>
      </c>
      <c r="B1150" s="22" t="inlineStr">
        <is>
          <t>Ozden</t>
        </is>
      </c>
      <c r="C1150" s="21" t="inlineStr">
        <is>
          <t>8697422828354</t>
        </is>
      </c>
      <c r="D1150" s="22" t="inlineStr">
        <is>
          <t>Osvij Smart Collection Qel 150q Antitabak</t>
        </is>
      </c>
      <c r="E1150" s="23" t="n">
        <v>3.45</v>
      </c>
      <c r="F1150" s="24" t="n">
        <v>48</v>
      </c>
      <c r="G1150" s="24" t="n">
        <v>74</v>
      </c>
      <c r="H1150" s="23" t="n"/>
      <c r="I1150" s="23" t="n"/>
      <c r="J1150" s="23" t="n"/>
      <c r="K1150" s="19" t="n"/>
      <c r="L1150" s="19" t="n"/>
      <c r="M1150" s="20" t="n"/>
      <c r="N1150" s="20" t="n">
        <v>50</v>
      </c>
      <c r="O1150" s="20" t="n"/>
      <c r="P1150" s="20">
        <f>O1150-N1150</f>
        <v/>
      </c>
      <c r="Q1150" s="20">
        <f>P1150*E1150</f>
        <v/>
      </c>
      <c r="R1150" s="20" t="n"/>
    </row>
    <row r="1151" ht="20" customHeight="1" s="1">
      <c r="A1151" s="16" t="inlineStr">
        <is>
          <t>10725</t>
        </is>
      </c>
      <c r="B1151" s="17" t="inlineStr">
        <is>
          <t>Ozden</t>
        </is>
      </c>
      <c r="C1151" s="16" t="inlineStr">
        <is>
          <t>8697422822611</t>
        </is>
      </c>
      <c r="D1151" s="17" t="inlineStr">
        <is>
          <t>Smart 3v1 sotka dl zamus&amp;nabuka yeni</t>
        </is>
      </c>
      <c r="E1151" s="18" t="n">
        <v>5.05</v>
      </c>
      <c r="F1151" s="25" t="n">
        <v>48</v>
      </c>
      <c r="G1151" s="25" t="n">
        <v>41</v>
      </c>
      <c r="H1151" s="18" t="n">
        <v>41</v>
      </c>
      <c r="I1151" s="18" t="n"/>
      <c r="J1151" s="18" t="n"/>
      <c r="K1151" s="19">
        <f>H1151+I1151+J1151</f>
        <v/>
      </c>
      <c r="L1151" s="19">
        <f>K1151-G1151</f>
        <v/>
      </c>
      <c r="M1151" s="20">
        <f>L1151*E1151</f>
        <v/>
      </c>
      <c r="N1151" s="20" t="n">
        <v>50</v>
      </c>
      <c r="O1151" s="20" t="n"/>
      <c r="P1151" s="20">
        <f>O1151-N1151</f>
        <v/>
      </c>
      <c r="Q1151" s="20">
        <f>P1151*E1151</f>
        <v/>
      </c>
      <c r="R1151" s="20" t="n"/>
    </row>
    <row r="1152" ht="20" customHeight="1" s="1">
      <c r="A1152" s="21" t="inlineStr">
        <is>
          <t>12569</t>
        </is>
      </c>
      <c r="B1152" s="22" t="inlineStr">
        <is>
          <t>Ozden</t>
        </is>
      </c>
      <c r="C1152" s="21" t="inlineStr">
        <is>
          <t>8697422827401</t>
        </is>
      </c>
      <c r="D1152" s="22" t="inlineStr">
        <is>
          <t>Smart Ayaqqabi icliyi Antibakterial</t>
        </is>
      </c>
      <c r="E1152" s="23" t="n">
        <v>1.45</v>
      </c>
      <c r="F1152" s="24" t="n">
        <v>24</v>
      </c>
      <c r="G1152" s="24" t="n">
        <v>0</v>
      </c>
      <c r="H1152" s="23" t="n"/>
      <c r="I1152" s="23" t="n"/>
      <c r="J1152" s="23" t="n"/>
      <c r="K1152" s="19">
        <f>H1152+I1152+J1152</f>
        <v/>
      </c>
      <c r="L1152" s="19">
        <f>K1152-G1152</f>
        <v/>
      </c>
      <c r="M1152" s="20">
        <f>L1152*E1152</f>
        <v/>
      </c>
      <c r="N1152" s="20" t="n">
        <v>50</v>
      </c>
      <c r="O1152" s="20" t="n"/>
      <c r="P1152" s="20">
        <f>O1152-N1152</f>
        <v/>
      </c>
      <c r="Q1152" s="20">
        <f>P1152*E1152</f>
        <v/>
      </c>
      <c r="R1152" s="20" t="n"/>
    </row>
    <row r="1153" ht="20" customHeight="1" s="1">
      <c r="A1153" s="16" t="inlineStr">
        <is>
          <t>16031</t>
        </is>
      </c>
      <c r="B1153" s="17" t="inlineStr">
        <is>
          <t>Ozden</t>
        </is>
      </c>
      <c r="C1153" s="16" t="n"/>
      <c r="D1153" s="17" t="inlineStr">
        <is>
          <t>Smart Vilo metal Vitrin</t>
        </is>
      </c>
      <c r="E1153" s="18" t="n">
        <v>0</v>
      </c>
      <c r="F1153" s="25" t="n">
        <v>1</v>
      </c>
      <c r="G1153" s="25" t="n">
        <v>4</v>
      </c>
      <c r="H1153" s="18" t="n"/>
      <c r="I1153" s="18" t="n"/>
      <c r="J1153" s="18" t="n"/>
      <c r="K1153" s="19" t="n"/>
      <c r="L1153" s="19" t="n"/>
      <c r="M1153" s="20" t="n"/>
      <c r="N1153" s="20" t="n">
        <v>50</v>
      </c>
      <c r="O1153" s="20" t="n"/>
      <c r="P1153" s="20" t="n"/>
      <c r="Q1153" s="20" t="n"/>
      <c r="R1153" s="20" t="n"/>
    </row>
    <row r="1154" ht="20" customHeight="1" s="1">
      <c r="A1154" s="21" t="inlineStr">
        <is>
          <t>18413</t>
        </is>
      </c>
      <c r="B1154" s="22" t="inlineStr">
        <is>
          <t>Ozden</t>
        </is>
      </c>
      <c r="C1154" s="21" t="inlineStr">
        <is>
          <t>8697422829139</t>
        </is>
      </c>
      <c r="D1154" s="22" t="inlineStr">
        <is>
          <t>Smart Cologne Mandarin 100ml</t>
        </is>
      </c>
      <c r="E1154" s="23" t="n">
        <v>2.45</v>
      </c>
      <c r="F1154" s="24" t="n">
        <v>30</v>
      </c>
      <c r="G1154" s="24" t="n">
        <v>0</v>
      </c>
      <c r="H1154" s="23" t="n"/>
      <c r="I1154" s="23" t="n"/>
      <c r="J1154" s="23" t="n"/>
      <c r="K1154" s="19">
        <f>H1154+I1154+J1154</f>
        <v/>
      </c>
      <c r="L1154" s="19">
        <f>K1154-G1154</f>
        <v/>
      </c>
      <c r="M1154" s="20">
        <f>L1154*E1154</f>
        <v/>
      </c>
      <c r="N1154" s="20" t="n">
        <v>50</v>
      </c>
      <c r="O1154" s="20" t="n"/>
      <c r="P1154" s="20">
        <f>O1154-N1154</f>
        <v/>
      </c>
      <c r="Q1154" s="20">
        <f>P1154*E1154</f>
        <v/>
      </c>
      <c r="R1154" s="20" t="n"/>
    </row>
    <row r="1155" ht="20" customHeight="1" s="1">
      <c r="A1155" s="16" t="inlineStr">
        <is>
          <t>18412</t>
        </is>
      </c>
      <c r="B1155" s="17" t="inlineStr">
        <is>
          <t>Ozden</t>
        </is>
      </c>
      <c r="C1155" s="16" t="inlineStr">
        <is>
          <t>8697422829146</t>
        </is>
      </c>
      <c r="D1155" s="17" t="inlineStr">
        <is>
          <t>Smart Cologne Rose 100ml</t>
        </is>
      </c>
      <c r="E1155" s="18" t="n">
        <v>2.45</v>
      </c>
      <c r="F1155" s="25" t="n">
        <v>30</v>
      </c>
      <c r="G1155" s="25" t="n">
        <v>0</v>
      </c>
      <c r="H1155" s="18" t="n"/>
      <c r="I1155" s="18" t="n"/>
      <c r="J1155" s="18" t="n"/>
      <c r="K1155" s="19">
        <f>H1155+I1155+J1155</f>
        <v/>
      </c>
      <c r="L1155" s="19">
        <f>K1155-G1155</f>
        <v/>
      </c>
      <c r="M1155" s="20">
        <f>L1155*E1155</f>
        <v/>
      </c>
      <c r="N1155" s="20" t="n">
        <v>50</v>
      </c>
      <c r="O1155" s="20" t="n"/>
      <c r="P1155" s="20">
        <f>O1155-N1155</f>
        <v/>
      </c>
      <c r="Q1155" s="20">
        <f>P1155*E1155</f>
        <v/>
      </c>
      <c r="R1155" s="20" t="n"/>
    </row>
    <row r="1156" ht="20" customHeight="1" s="1">
      <c r="A1156" s="21" t="inlineStr">
        <is>
          <t>18410</t>
        </is>
      </c>
      <c r="B1156" s="22" t="inlineStr">
        <is>
          <t>Ozden</t>
        </is>
      </c>
      <c r="C1156" s="21" t="inlineStr">
        <is>
          <t>8697422829122</t>
        </is>
      </c>
      <c r="D1156" s="22" t="inlineStr">
        <is>
          <t>Smart Cologne Ice 100ml</t>
        </is>
      </c>
      <c r="E1156" s="23" t="n">
        <v>2.45</v>
      </c>
      <c r="F1156" s="24" t="n">
        <v>30</v>
      </c>
      <c r="G1156" s="24" t="n">
        <v>0</v>
      </c>
      <c r="H1156" s="23" t="n"/>
      <c r="I1156" s="23" t="n"/>
      <c r="J1156" s="23" t="n"/>
      <c r="K1156" s="19">
        <f>H1156+I1156+J1156</f>
        <v/>
      </c>
      <c r="L1156" s="19">
        <f>K1156-G1156</f>
        <v/>
      </c>
      <c r="M1156" s="20">
        <f>L1156*E1156</f>
        <v/>
      </c>
      <c r="N1156" s="20" t="n">
        <v>50</v>
      </c>
      <c r="O1156" s="20" t="n"/>
      <c r="P1156" s="20">
        <f>O1156-N1156</f>
        <v/>
      </c>
      <c r="Q1156" s="20">
        <f>P1156*E1156</f>
        <v/>
      </c>
      <c r="R1156" s="20" t="n"/>
    </row>
    <row r="1157" ht="20" customHeight="1" s="1">
      <c r="A1157" s="16" t="inlineStr">
        <is>
          <t>18411</t>
        </is>
      </c>
      <c r="B1157" s="17" t="inlineStr">
        <is>
          <t>Ozden</t>
        </is>
      </c>
      <c r="C1157" s="16" t="inlineStr">
        <is>
          <t>8697422829153</t>
        </is>
      </c>
      <c r="D1157" s="17" t="inlineStr">
        <is>
          <t>Smart Cologne Fig Blossom 100ml</t>
        </is>
      </c>
      <c r="E1157" s="18" t="n">
        <v>2.45</v>
      </c>
      <c r="F1157" s="25" t="n">
        <v>30</v>
      </c>
      <c r="G1157" s="25" t="n">
        <v>0</v>
      </c>
      <c r="H1157" s="18" t="n"/>
      <c r="I1157" s="18" t="n"/>
      <c r="J1157" s="18" t="n"/>
      <c r="K1157" s="19">
        <f>H1157+I1157+J1157</f>
        <v/>
      </c>
      <c r="L1157" s="19">
        <f>K1157-G1157</f>
        <v/>
      </c>
      <c r="M1157" s="20">
        <f>L1157*E1157</f>
        <v/>
      </c>
      <c r="N1157" s="20" t="n">
        <v>50</v>
      </c>
      <c r="O1157" s="20" t="n"/>
      <c r="P1157" s="20">
        <f>O1157-N1157</f>
        <v/>
      </c>
      <c r="Q1157" s="20">
        <f>P1157*E1157</f>
        <v/>
      </c>
      <c r="R1157" s="20" t="n"/>
    </row>
    <row r="1158" ht="20" customHeight="1" s="1">
      <c r="A1158" s="21" t="inlineStr">
        <is>
          <t>21818</t>
        </is>
      </c>
      <c r="B1158" s="22" t="inlineStr">
        <is>
          <t>Sora Kozmetik</t>
        </is>
      </c>
      <c r="C1158" s="21" t="inlineStr">
        <is>
          <t>8699009412277</t>
        </is>
      </c>
      <c r="D1158" s="22" t="inlineStr">
        <is>
          <t>Bek Perfumed Spray For Women 76 200Ml</t>
        </is>
      </c>
      <c r="E1158" s="23" t="n">
        <v>4.8</v>
      </c>
      <c r="F1158" s="23" t="n">
        <v>48</v>
      </c>
      <c r="G1158" s="23" t="n">
        <v>136</v>
      </c>
      <c r="H1158" s="23" t="n"/>
      <c r="I1158" s="23" t="n"/>
      <c r="J1158" s="23" t="n"/>
      <c r="K1158" s="19">
        <f>H1158+I1158+J1158</f>
        <v/>
      </c>
      <c r="L1158" s="19">
        <f>K1158-G1158</f>
        <v/>
      </c>
      <c r="M1158" s="20">
        <f>L1158*E1158</f>
        <v/>
      </c>
      <c r="N1158" s="20" t="n">
        <v>50</v>
      </c>
      <c r="O1158" s="20" t="n"/>
      <c r="P1158" s="20">
        <f>O1158-N1158</f>
        <v/>
      </c>
      <c r="Q1158" s="20">
        <f>P1158*E1158</f>
        <v/>
      </c>
      <c r="R1158" s="20" t="n"/>
    </row>
    <row r="1159" ht="20" customHeight="1" s="1">
      <c r="A1159" s="16" t="inlineStr">
        <is>
          <t>21819</t>
        </is>
      </c>
      <c r="B1159" s="17" t="inlineStr">
        <is>
          <t>Sora Kozmetik</t>
        </is>
      </c>
      <c r="C1159" s="16" t="inlineStr">
        <is>
          <t>8699009412246</t>
        </is>
      </c>
      <c r="D1159" s="17" t="inlineStr">
        <is>
          <t>Bek Perfumed Spray For Women Pink Lady 200Ml</t>
        </is>
      </c>
      <c r="E1159" s="18" t="n">
        <v>4.8</v>
      </c>
      <c r="F1159" s="18" t="n">
        <v>48</v>
      </c>
      <c r="G1159" s="18" t="n">
        <v>84</v>
      </c>
      <c r="H1159" s="18" t="n"/>
      <c r="I1159" s="18" t="n"/>
      <c r="J1159" s="18" t="n"/>
      <c r="K1159" s="19">
        <f>H1159+I1159+J1159</f>
        <v/>
      </c>
      <c r="L1159" s="19">
        <f>K1159-G1159</f>
        <v/>
      </c>
      <c r="M1159" s="20">
        <f>L1159*E1159</f>
        <v/>
      </c>
      <c r="N1159" s="20" t="n">
        <v>50</v>
      </c>
      <c r="O1159" s="20" t="n"/>
      <c r="P1159" s="20">
        <f>O1159-N1159</f>
        <v/>
      </c>
      <c r="Q1159" s="20">
        <f>P1159*E1159</f>
        <v/>
      </c>
      <c r="R1159" s="20" t="n"/>
    </row>
    <row r="1160" ht="20" customHeight="1" s="1">
      <c r="A1160" s="21" t="inlineStr">
        <is>
          <t>21820</t>
        </is>
      </c>
      <c r="B1160" s="22" t="inlineStr">
        <is>
          <t>Sora Kozmetik</t>
        </is>
      </c>
      <c r="C1160" s="21" t="inlineStr">
        <is>
          <t>8699009412208</t>
        </is>
      </c>
      <c r="D1160" s="22" t="inlineStr">
        <is>
          <t>Bek Perfumed Spray For Women Sport  200Ml</t>
        </is>
      </c>
      <c r="E1160" s="23" t="n">
        <v>4.8</v>
      </c>
      <c r="F1160" s="23" t="n">
        <v>48</v>
      </c>
      <c r="G1160" s="23" t="n">
        <v>90</v>
      </c>
      <c r="H1160" s="23" t="n"/>
      <c r="I1160" s="23" t="n"/>
      <c r="J1160" s="23" t="n"/>
      <c r="K1160" s="19">
        <f>H1160+I1160+J1160</f>
        <v/>
      </c>
      <c r="L1160" s="19">
        <f>K1160-G1160</f>
        <v/>
      </c>
      <c r="M1160" s="20">
        <f>L1160*E1160</f>
        <v/>
      </c>
      <c r="N1160" s="20" t="n">
        <v>50</v>
      </c>
      <c r="O1160" s="20" t="n"/>
      <c r="P1160" s="20">
        <f>O1160-N1160</f>
        <v/>
      </c>
      <c r="Q1160" s="20">
        <f>P1160*E1160</f>
        <v/>
      </c>
      <c r="R1160" s="20" t="n"/>
    </row>
    <row r="1161" ht="20" customHeight="1" s="1">
      <c r="A1161" s="16" t="inlineStr">
        <is>
          <t>21825</t>
        </is>
      </c>
      <c r="B1161" s="17" t="inlineStr">
        <is>
          <t>Sora Kozmetik</t>
        </is>
      </c>
      <c r="C1161" s="16" t="inlineStr">
        <is>
          <t>8699009420760</t>
        </is>
      </c>
      <c r="D1161" s="17" t="inlineStr">
        <is>
          <t>Bek Perfumed Spray For Women Change 200Ml</t>
        </is>
      </c>
      <c r="E1161" s="18" t="n">
        <v>4.8</v>
      </c>
      <c r="F1161" s="18" t="n">
        <v>48</v>
      </c>
      <c r="G1161" s="18" t="n">
        <v>169</v>
      </c>
      <c r="H1161" s="18" t="n"/>
      <c r="I1161" s="18" t="n"/>
      <c r="J1161" s="18" t="n"/>
      <c r="K1161" s="19">
        <f>H1161+I1161+J1161</f>
        <v/>
      </c>
      <c r="L1161" s="19">
        <f>K1161-G1161</f>
        <v/>
      </c>
      <c r="M1161" s="20">
        <f>L1161*E1161</f>
        <v/>
      </c>
      <c r="N1161" s="20" t="n">
        <v>50</v>
      </c>
      <c r="O1161" s="20" t="n"/>
      <c r="P1161" s="20">
        <f>O1161-N1161</f>
        <v/>
      </c>
      <c r="Q1161" s="20">
        <f>P1161*E1161</f>
        <v/>
      </c>
      <c r="R1161" s="20" t="n"/>
    </row>
    <row r="1162" ht="20" customHeight="1" s="1">
      <c r="A1162" s="21" t="inlineStr">
        <is>
          <t>21826</t>
        </is>
      </c>
      <c r="B1162" s="22" t="inlineStr">
        <is>
          <t>Sora Kozmetik</t>
        </is>
      </c>
      <c r="C1162" s="21" t="inlineStr">
        <is>
          <t>8699009420777</t>
        </is>
      </c>
      <c r="D1162" s="22" t="inlineStr">
        <is>
          <t>Bek Perfumed Spray For Women Effect 200Ml</t>
        </is>
      </c>
      <c r="E1162" s="23" t="n">
        <v>4.8</v>
      </c>
      <c r="F1162" s="23" t="n">
        <v>48</v>
      </c>
      <c r="G1162" s="23" t="n">
        <v>57</v>
      </c>
      <c r="H1162" s="23" t="n"/>
      <c r="I1162" s="23" t="n"/>
      <c r="J1162" s="23" t="n"/>
      <c r="K1162" s="19">
        <f>H1162+I1162+J1162</f>
        <v/>
      </c>
      <c r="L1162" s="19">
        <f>K1162-G1162</f>
        <v/>
      </c>
      <c r="M1162" s="20">
        <f>L1162*E1162</f>
        <v/>
      </c>
      <c r="N1162" s="20" t="n">
        <v>50</v>
      </c>
      <c r="O1162" s="20" t="n"/>
      <c r="P1162" s="20">
        <f>O1162-N1162</f>
        <v/>
      </c>
      <c r="Q1162" s="20">
        <f>P1162*E1162</f>
        <v/>
      </c>
      <c r="R1162" s="20" t="n"/>
    </row>
    <row r="1163" ht="20" customHeight="1" s="1">
      <c r="A1163" s="16" t="inlineStr">
        <is>
          <t>21827</t>
        </is>
      </c>
      <c r="B1163" s="17" t="inlineStr">
        <is>
          <t>Sora Kozmetik</t>
        </is>
      </c>
      <c r="C1163" s="16" t="inlineStr">
        <is>
          <t>8699009420746</t>
        </is>
      </c>
      <c r="D1163" s="17" t="inlineStr">
        <is>
          <t>Bek Perfumed Spray For Women Lona 200Ml</t>
        </is>
      </c>
      <c r="E1163" s="18" t="n">
        <v>4.8</v>
      </c>
      <c r="F1163" s="18" t="n">
        <v>48</v>
      </c>
      <c r="G1163" s="18" t="n">
        <v>125</v>
      </c>
      <c r="H1163" s="18" t="n"/>
      <c r="I1163" s="18" t="n"/>
      <c r="J1163" s="18" t="n"/>
      <c r="K1163" s="19">
        <f>H1163+I1163+J1163</f>
        <v/>
      </c>
      <c r="L1163" s="19">
        <f>K1163-G1163</f>
        <v/>
      </c>
      <c r="M1163" s="20">
        <f>L1163*E1163</f>
        <v/>
      </c>
      <c r="N1163" s="20" t="n">
        <v>50</v>
      </c>
      <c r="O1163" s="20" t="n"/>
      <c r="P1163" s="20">
        <f>O1163-N1163</f>
        <v/>
      </c>
      <c r="Q1163" s="20">
        <f>P1163*E1163</f>
        <v/>
      </c>
      <c r="R1163" s="20" t="n"/>
    </row>
    <row r="1164" ht="20" customHeight="1" s="1">
      <c r="A1164" s="21" t="inlineStr">
        <is>
          <t>21828</t>
        </is>
      </c>
      <c r="B1164" s="22" t="inlineStr">
        <is>
          <t>Sora Kozmetik</t>
        </is>
      </c>
      <c r="C1164" s="21" t="inlineStr">
        <is>
          <t>8699009420708</t>
        </is>
      </c>
      <c r="D1164" s="22" t="inlineStr">
        <is>
          <t>Bek Perfumed Spray For Women Madam 200Ml</t>
        </is>
      </c>
      <c r="E1164" s="23" t="n">
        <v>4.8</v>
      </c>
      <c r="F1164" s="23" t="n">
        <v>48</v>
      </c>
      <c r="G1164" s="23" t="n">
        <v>111</v>
      </c>
      <c r="H1164" s="23" t="n"/>
      <c r="I1164" s="23" t="n"/>
      <c r="J1164" s="23" t="n"/>
      <c r="K1164" s="19">
        <f>H1164+I1164+J1164</f>
        <v/>
      </c>
      <c r="L1164" s="19">
        <f>K1164-G1164</f>
        <v/>
      </c>
      <c r="M1164" s="20">
        <f>L1164*E1164</f>
        <v/>
      </c>
      <c r="N1164" s="20" t="n">
        <v>50</v>
      </c>
      <c r="O1164" s="20" t="n"/>
      <c r="P1164" s="20">
        <f>O1164-N1164</f>
        <v/>
      </c>
      <c r="Q1164" s="20">
        <f>P1164*E1164</f>
        <v/>
      </c>
      <c r="R1164" s="20" t="n"/>
    </row>
    <row r="1165" ht="20" customHeight="1" s="1">
      <c r="A1165" s="16" t="inlineStr">
        <is>
          <t>21829</t>
        </is>
      </c>
      <c r="B1165" s="17" t="inlineStr">
        <is>
          <t>Sora Kozmetik</t>
        </is>
      </c>
      <c r="C1165" s="16" t="inlineStr">
        <is>
          <t>8699009420739</t>
        </is>
      </c>
      <c r="D1165" s="17" t="inlineStr">
        <is>
          <t>Bek Perfumed Spray For Women Ribbon 200Ml</t>
        </is>
      </c>
      <c r="E1165" s="18" t="n">
        <v>4.8</v>
      </c>
      <c r="F1165" s="18" t="n">
        <v>48</v>
      </c>
      <c r="G1165" s="18" t="n">
        <v>93</v>
      </c>
      <c r="H1165" s="18" t="n"/>
      <c r="I1165" s="18" t="n"/>
      <c r="J1165" s="18" t="n"/>
      <c r="K1165" s="19">
        <f>H1165+I1165+J1165</f>
        <v/>
      </c>
      <c r="L1165" s="19">
        <f>K1165-G1165</f>
        <v/>
      </c>
      <c r="M1165" s="20">
        <f>L1165*E1165</f>
        <v/>
      </c>
      <c r="N1165" s="20" t="n">
        <v>50</v>
      </c>
      <c r="O1165" s="20" t="n"/>
      <c r="P1165" s="20">
        <f>O1165-N1165</f>
        <v/>
      </c>
      <c r="Q1165" s="20">
        <f>P1165*E1165</f>
        <v/>
      </c>
      <c r="R1165" s="20" t="n"/>
    </row>
    <row r="1166" ht="20" customHeight="1" s="1">
      <c r="A1166" s="21" t="inlineStr">
        <is>
          <t>21830</t>
        </is>
      </c>
      <c r="B1166" s="22" t="inlineStr">
        <is>
          <t>Sora Kozmetik</t>
        </is>
      </c>
      <c r="C1166" s="21" t="inlineStr">
        <is>
          <t>8699009420722</t>
        </is>
      </c>
      <c r="D1166" s="22" t="inlineStr">
        <is>
          <t>Bek Perfumed Spray For Women Versatile 200Ml</t>
        </is>
      </c>
      <c r="E1166" s="23" t="n">
        <v>4.8</v>
      </c>
      <c r="F1166" s="23" t="n">
        <v>48</v>
      </c>
      <c r="G1166" s="23" t="n">
        <v>99</v>
      </c>
      <c r="H1166" s="23" t="n"/>
      <c r="I1166" s="23" t="n"/>
      <c r="J1166" s="23" t="n"/>
      <c r="K1166" s="19">
        <f>H1166+I1166+J1166</f>
        <v/>
      </c>
      <c r="L1166" s="19">
        <f>K1166-G1166</f>
        <v/>
      </c>
      <c r="M1166" s="20">
        <f>L1166*E1166</f>
        <v/>
      </c>
      <c r="N1166" s="20" t="n">
        <v>50</v>
      </c>
      <c r="O1166" s="20" t="n"/>
      <c r="P1166" s="20">
        <f>O1166-N1166</f>
        <v/>
      </c>
      <c r="Q1166" s="20">
        <f>P1166*E1166</f>
        <v/>
      </c>
      <c r="R1166" s="20" t="n"/>
    </row>
    <row r="1167" ht="20" customHeight="1" s="1">
      <c r="A1167" s="16" t="inlineStr">
        <is>
          <t>21817</t>
        </is>
      </c>
      <c r="B1167" s="17" t="inlineStr">
        <is>
          <t>Sora Kozmetik</t>
        </is>
      </c>
      <c r="C1167" s="16" t="inlineStr">
        <is>
          <t>8699009412239</t>
        </is>
      </c>
      <c r="D1167" s="17" t="inlineStr">
        <is>
          <t>Bek Perfumed Spray For Men Dark 200Ml</t>
        </is>
      </c>
      <c r="E1167" s="18" t="n">
        <v>4.8</v>
      </c>
      <c r="F1167" s="18" t="n">
        <v>48</v>
      </c>
      <c r="G1167" s="18" t="n">
        <v>54</v>
      </c>
      <c r="H1167" s="18" t="n"/>
      <c r="I1167" s="18" t="n"/>
      <c r="J1167" s="18" t="n"/>
      <c r="K1167" s="19">
        <f>H1167+I1167+J1167</f>
        <v/>
      </c>
      <c r="L1167" s="19">
        <f>K1167-G1167</f>
        <v/>
      </c>
      <c r="M1167" s="20">
        <f>L1167*E1167</f>
        <v/>
      </c>
      <c r="N1167" s="20" t="n">
        <v>50</v>
      </c>
      <c r="O1167" s="20" t="n"/>
      <c r="P1167" s="20">
        <f>O1167-N1167</f>
        <v/>
      </c>
      <c r="Q1167" s="20">
        <f>P1167*E1167</f>
        <v/>
      </c>
      <c r="R1167" s="20" t="n"/>
    </row>
    <row r="1168" ht="20" customHeight="1" s="1">
      <c r="A1168" s="21" t="inlineStr">
        <is>
          <t>21821</t>
        </is>
      </c>
      <c r="B1168" s="22" t="inlineStr">
        <is>
          <t>Sora Kozmetik</t>
        </is>
      </c>
      <c r="C1168" s="21" t="inlineStr">
        <is>
          <t>8699009420852</t>
        </is>
      </c>
      <c r="D1168" s="22" t="inlineStr">
        <is>
          <t>Bek Perfumed Spray For Men Avenue 200Ml</t>
        </is>
      </c>
      <c r="E1168" s="23" t="n">
        <v>4.8</v>
      </c>
      <c r="F1168" s="23" t="n">
        <v>48</v>
      </c>
      <c r="G1168" s="23" t="n">
        <v>95</v>
      </c>
      <c r="H1168" s="23" t="n"/>
      <c r="I1168" s="23" t="n"/>
      <c r="J1168" s="23" t="n"/>
      <c r="K1168" s="19">
        <f>H1168+I1168+J1168</f>
        <v/>
      </c>
      <c r="L1168" s="19">
        <f>K1168-G1168</f>
        <v/>
      </c>
      <c r="M1168" s="20">
        <f>L1168*E1168</f>
        <v/>
      </c>
      <c r="N1168" s="20" t="n">
        <v>50</v>
      </c>
      <c r="O1168" s="20" t="n"/>
      <c r="P1168" s="20">
        <f>O1168-N1168</f>
        <v/>
      </c>
      <c r="Q1168" s="20">
        <f>P1168*E1168</f>
        <v/>
      </c>
      <c r="R1168" s="20" t="n"/>
    </row>
    <row r="1169" ht="20" customHeight="1" s="1">
      <c r="A1169" s="16" t="inlineStr">
        <is>
          <t>21822</t>
        </is>
      </c>
      <c r="B1169" s="17" t="inlineStr">
        <is>
          <t>Sora Kozmetik</t>
        </is>
      </c>
      <c r="C1169" s="16" t="inlineStr">
        <is>
          <t>8699009420791</t>
        </is>
      </c>
      <c r="D1169" s="17" t="inlineStr">
        <is>
          <t>Bek Perfumed Spray For Men Dark Blue 200Ml</t>
        </is>
      </c>
      <c r="E1169" s="18" t="n">
        <v>4.8</v>
      </c>
      <c r="F1169" s="18" t="n">
        <v>48</v>
      </c>
      <c r="G1169" s="18" t="n">
        <v>129</v>
      </c>
      <c r="H1169" s="18" t="n"/>
      <c r="I1169" s="18" t="n"/>
      <c r="J1169" s="18" t="n"/>
      <c r="K1169" s="19">
        <f>H1169+I1169+J1169</f>
        <v/>
      </c>
      <c r="L1169" s="19">
        <f>K1169-G1169</f>
        <v/>
      </c>
      <c r="M1169" s="20">
        <f>L1169*E1169</f>
        <v/>
      </c>
      <c r="N1169" s="20" t="n">
        <v>50</v>
      </c>
      <c r="O1169" s="20" t="n"/>
      <c r="P1169" s="20">
        <f>O1169-N1169</f>
        <v/>
      </c>
      <c r="Q1169" s="20">
        <f>P1169*E1169</f>
        <v/>
      </c>
      <c r="R1169" s="20" t="n"/>
    </row>
    <row r="1170" ht="20" customHeight="1" s="1">
      <c r="A1170" s="21" t="inlineStr">
        <is>
          <t>21823</t>
        </is>
      </c>
      <c r="B1170" s="22" t="inlineStr">
        <is>
          <t>Sora Kozmetik</t>
        </is>
      </c>
      <c r="C1170" s="21" t="inlineStr">
        <is>
          <t>8699009420814</t>
        </is>
      </c>
      <c r="D1170" s="22" t="inlineStr">
        <is>
          <t>Bek Perfumed Spray For Men Deep Cool 200Ml</t>
        </is>
      </c>
      <c r="E1170" s="23" t="n">
        <v>4.8</v>
      </c>
      <c r="F1170" s="23" t="n">
        <v>48</v>
      </c>
      <c r="G1170" s="23" t="n">
        <v>70</v>
      </c>
      <c r="H1170" s="23" t="n"/>
      <c r="I1170" s="23" t="n"/>
      <c r="J1170" s="23" t="n"/>
      <c r="K1170" s="19">
        <f>H1170+I1170+J1170</f>
        <v/>
      </c>
      <c r="L1170" s="19">
        <f>K1170-G1170</f>
        <v/>
      </c>
      <c r="M1170" s="20">
        <f>L1170*E1170</f>
        <v/>
      </c>
      <c r="N1170" s="20" t="n">
        <v>50</v>
      </c>
      <c r="O1170" s="20" t="n"/>
      <c r="P1170" s="20">
        <f>O1170-N1170</f>
        <v/>
      </c>
      <c r="Q1170" s="20">
        <f>P1170*E1170</f>
        <v/>
      </c>
      <c r="R1170" s="20" t="n"/>
    </row>
    <row r="1171" ht="20" customHeight="1" s="1">
      <c r="A1171" s="16" t="inlineStr">
        <is>
          <t>21824</t>
        </is>
      </c>
      <c r="B1171" s="17" t="inlineStr">
        <is>
          <t>Sora Kozmetik</t>
        </is>
      </c>
      <c r="C1171" s="16" t="inlineStr">
        <is>
          <t>8699009420821</t>
        </is>
      </c>
      <c r="D1171" s="17" t="inlineStr">
        <is>
          <t>Bek Perfumed Spray For Men Design 200Ml</t>
        </is>
      </c>
      <c r="E1171" s="18" t="n">
        <v>4.8</v>
      </c>
      <c r="F1171" s="18" t="n">
        <v>48</v>
      </c>
      <c r="G1171" s="18" t="n">
        <v>161</v>
      </c>
      <c r="H1171" s="18" t="n"/>
      <c r="I1171" s="18" t="n"/>
      <c r="J1171" s="18" t="n"/>
      <c r="K1171" s="19">
        <f>H1171+I1171+J1171</f>
        <v/>
      </c>
      <c r="L1171" s="19">
        <f>K1171-G1171</f>
        <v/>
      </c>
      <c r="M1171" s="20">
        <f>L1171*E1171</f>
        <v/>
      </c>
      <c r="N1171" s="20" t="n">
        <v>50</v>
      </c>
      <c r="O1171" s="20" t="n"/>
      <c r="P1171" s="20">
        <f>O1171-N1171</f>
        <v/>
      </c>
      <c r="Q1171" s="20">
        <f>P1171*E1171</f>
        <v/>
      </c>
      <c r="R1171" s="20" t="n"/>
    </row>
    <row r="1172" ht="20" customHeight="1" s="1">
      <c r="A1172" s="21" t="inlineStr">
        <is>
          <t>21831</t>
        </is>
      </c>
      <c r="B1172" s="22" t="inlineStr">
        <is>
          <t>Sora Kozmetik</t>
        </is>
      </c>
      <c r="C1172" s="21" t="inlineStr">
        <is>
          <t>8697418297515</t>
        </is>
      </c>
      <c r="D1172" s="22" t="inlineStr">
        <is>
          <t>Tropicana Air Freshener Apple 300Ml</t>
        </is>
      </c>
      <c r="E1172" s="23" t="n">
        <v>2.2</v>
      </c>
      <c r="F1172" s="23" t="n">
        <v>48</v>
      </c>
      <c r="G1172" s="23" t="n">
        <v>78</v>
      </c>
      <c r="H1172" s="23" t="n"/>
      <c r="I1172" s="23" t="n"/>
      <c r="J1172" s="23" t="n"/>
      <c r="K1172" s="19">
        <f>H1172+I1172+J1172</f>
        <v/>
      </c>
      <c r="L1172" s="19">
        <f>K1172-G1172</f>
        <v/>
      </c>
      <c r="M1172" s="20">
        <f>L1172*E1172</f>
        <v/>
      </c>
      <c r="N1172" s="20" t="n">
        <v>50</v>
      </c>
      <c r="O1172" s="20" t="n"/>
      <c r="P1172" s="20">
        <f>O1172-N1172</f>
        <v/>
      </c>
      <c r="Q1172" s="20">
        <f>P1172*E1172</f>
        <v/>
      </c>
      <c r="R1172" s="20" t="n"/>
    </row>
    <row r="1173" ht="20" customHeight="1" s="1">
      <c r="A1173" s="16" t="inlineStr">
        <is>
          <t>21832</t>
        </is>
      </c>
      <c r="B1173" s="17" t="inlineStr">
        <is>
          <t>Sora Kozmetik</t>
        </is>
      </c>
      <c r="C1173" s="16" t="inlineStr">
        <is>
          <t>8699009435313</t>
        </is>
      </c>
      <c r="D1173" s="17" t="inlineStr">
        <is>
          <t>Tropicana Air Freshener Bamboo 300Ml</t>
        </is>
      </c>
      <c r="E1173" s="18" t="n">
        <v>2.2</v>
      </c>
      <c r="F1173" s="18" t="n">
        <v>48</v>
      </c>
      <c r="G1173" s="18" t="n">
        <v>95</v>
      </c>
      <c r="H1173" s="18" t="n"/>
      <c r="I1173" s="18" t="n"/>
      <c r="J1173" s="18" t="n"/>
      <c r="K1173" s="19">
        <f>H1173+I1173+J1173</f>
        <v/>
      </c>
      <c r="L1173" s="19">
        <f>K1173-G1173</f>
        <v/>
      </c>
      <c r="M1173" s="20">
        <f>L1173*E1173</f>
        <v/>
      </c>
      <c r="N1173" s="20" t="n">
        <v>50</v>
      </c>
      <c r="O1173" s="20" t="n"/>
      <c r="P1173" s="20">
        <f>O1173-N1173</f>
        <v/>
      </c>
      <c r="Q1173" s="20">
        <f>P1173*E1173</f>
        <v/>
      </c>
      <c r="R1173" s="20" t="n"/>
    </row>
    <row r="1174" ht="20" customHeight="1" s="1">
      <c r="A1174" s="21" t="inlineStr">
        <is>
          <t>21833</t>
        </is>
      </c>
      <c r="B1174" s="22" t="inlineStr">
        <is>
          <t>Sora Kozmetik</t>
        </is>
      </c>
      <c r="C1174" s="21" t="inlineStr">
        <is>
          <t>8697418297522</t>
        </is>
      </c>
      <c r="D1174" s="22" t="inlineStr">
        <is>
          <t>Tropicana Air Freshener Bouquet 300Ml</t>
        </is>
      </c>
      <c r="E1174" s="23" t="n">
        <v>2.2</v>
      </c>
      <c r="F1174" s="23" t="n">
        <v>48</v>
      </c>
      <c r="G1174" s="23" t="n">
        <v>9</v>
      </c>
      <c r="H1174" s="23" t="n"/>
      <c r="I1174" s="23" t="n"/>
      <c r="J1174" s="23" t="n"/>
      <c r="K1174" s="19">
        <f>H1174+I1174+J1174</f>
        <v/>
      </c>
      <c r="L1174" s="19">
        <f>K1174-G1174</f>
        <v/>
      </c>
      <c r="M1174" s="20">
        <f>L1174*E1174</f>
        <v/>
      </c>
      <c r="N1174" s="20" t="n">
        <v>50</v>
      </c>
      <c r="O1174" s="20" t="n"/>
      <c r="P1174" s="20">
        <f>O1174-N1174</f>
        <v/>
      </c>
      <c r="Q1174" s="20">
        <f>P1174*E1174</f>
        <v/>
      </c>
      <c r="R1174" s="20" t="n"/>
    </row>
    <row r="1175" ht="20" customHeight="1" s="1">
      <c r="A1175" s="16" t="inlineStr">
        <is>
          <t>21834</t>
        </is>
      </c>
      <c r="B1175" s="17" t="inlineStr">
        <is>
          <t>Sora Kozmetik</t>
        </is>
      </c>
      <c r="C1175" s="16" t="inlineStr">
        <is>
          <t>8699009435306</t>
        </is>
      </c>
      <c r="D1175" s="17" t="inlineStr">
        <is>
          <t>Tropicana Air Freshener Bubble Gum 300Ml</t>
        </is>
      </c>
      <c r="E1175" s="18" t="n">
        <v>2.2</v>
      </c>
      <c r="F1175" s="18" t="n">
        <v>48</v>
      </c>
      <c r="G1175" s="18" t="n">
        <v>1</v>
      </c>
      <c r="H1175" s="18" t="n"/>
      <c r="I1175" s="18" t="n"/>
      <c r="J1175" s="18" t="n"/>
      <c r="K1175" s="19" t="n"/>
      <c r="L1175" s="19" t="n"/>
      <c r="M1175" s="20" t="n"/>
      <c r="N1175" s="20" t="n">
        <v>50</v>
      </c>
      <c r="O1175" s="20" t="n"/>
      <c r="P1175" s="20">
        <f>O1175-N1175</f>
        <v/>
      </c>
      <c r="Q1175" s="20">
        <f>P1175*E1175</f>
        <v/>
      </c>
      <c r="R1175" s="20" t="n"/>
    </row>
    <row r="1176" ht="20" customHeight="1" s="1">
      <c r="A1176" s="21" t="inlineStr">
        <is>
          <t>21850</t>
        </is>
      </c>
      <c r="B1176" s="22" t="inlineStr">
        <is>
          <t>Sora Kozmetik</t>
        </is>
      </c>
      <c r="C1176" s="21" t="inlineStr">
        <is>
          <t>8699009464979</t>
        </is>
      </c>
      <c r="D1176" s="22" t="inlineStr">
        <is>
          <t>Tropicana Air Freshener Jasmin 300Ml</t>
        </is>
      </c>
      <c r="E1176" s="23" t="n">
        <v>2.2</v>
      </c>
      <c r="F1176" s="23" t="n">
        <v>48</v>
      </c>
      <c r="G1176" s="23" t="n">
        <v>11</v>
      </c>
      <c r="H1176" s="23" t="n"/>
      <c r="I1176" s="23" t="n"/>
      <c r="J1176" s="23" t="n"/>
      <c r="K1176" s="19" t="n"/>
      <c r="L1176" s="19" t="n"/>
      <c r="M1176" s="20" t="n"/>
      <c r="N1176" s="20" t="n">
        <v>50</v>
      </c>
      <c r="O1176" s="20" t="n"/>
      <c r="P1176" s="20">
        <f>O1176-N1176</f>
        <v/>
      </c>
      <c r="Q1176" s="20">
        <f>P1176*E1176</f>
        <v/>
      </c>
      <c r="R1176" s="20" t="n"/>
    </row>
    <row r="1177" ht="20" customHeight="1" s="1">
      <c r="A1177" s="16" t="inlineStr">
        <is>
          <t>21851</t>
        </is>
      </c>
      <c r="B1177" s="17" t="inlineStr">
        <is>
          <t>Sora Kozmetik</t>
        </is>
      </c>
      <c r="C1177" s="16" t="inlineStr">
        <is>
          <t>8699009435320</t>
        </is>
      </c>
      <c r="D1177" s="17" t="inlineStr">
        <is>
          <t>Tropicana Air Freshener Lavanda 300Ml</t>
        </is>
      </c>
      <c r="E1177" s="18" t="n">
        <v>2.2</v>
      </c>
      <c r="F1177" s="18" t="n">
        <v>48</v>
      </c>
      <c r="G1177" s="18" t="n">
        <v>0</v>
      </c>
      <c r="H1177" s="18" t="n"/>
      <c r="I1177" s="18" t="n"/>
      <c r="J1177" s="18" t="n"/>
      <c r="K1177" s="19">
        <f>H1177+I1177+J1177</f>
        <v/>
      </c>
      <c r="L1177" s="19">
        <f>K1177-G1177</f>
        <v/>
      </c>
      <c r="M1177" s="20">
        <f>L1177*E1177</f>
        <v/>
      </c>
      <c r="N1177" s="20" t="n">
        <v>50</v>
      </c>
      <c r="O1177" s="20" t="n"/>
      <c r="P1177" s="20">
        <f>O1177-N1177</f>
        <v/>
      </c>
      <c r="Q1177" s="20">
        <f>P1177*E1177</f>
        <v/>
      </c>
      <c r="R1177" s="20" t="n"/>
    </row>
    <row r="1178" ht="20" customHeight="1" s="1">
      <c r="A1178" s="21" t="inlineStr">
        <is>
          <t>21852</t>
        </is>
      </c>
      <c r="B1178" s="22" t="inlineStr">
        <is>
          <t>Sora Kozmetik</t>
        </is>
      </c>
      <c r="C1178" s="21" t="inlineStr">
        <is>
          <t>8699009464986</t>
        </is>
      </c>
      <c r="D1178" s="22" t="inlineStr">
        <is>
          <t>Tropicana Air Freshener Lilac 300Ml</t>
        </is>
      </c>
      <c r="E1178" s="23" t="n">
        <v>2.2</v>
      </c>
      <c r="F1178" s="23" t="n">
        <v>48</v>
      </c>
      <c r="G1178" s="23" t="n">
        <v>0</v>
      </c>
      <c r="H1178" s="23" t="n"/>
      <c r="I1178" s="23" t="n"/>
      <c r="J1178" s="23" t="n"/>
      <c r="K1178" s="19">
        <f>H1178+I1178+J1178</f>
        <v/>
      </c>
      <c r="L1178" s="19">
        <f>K1178-G1178</f>
        <v/>
      </c>
      <c r="M1178" s="20">
        <f>L1178*E1178</f>
        <v/>
      </c>
      <c r="N1178" s="20" t="n">
        <v>50</v>
      </c>
      <c r="O1178" s="20" t="n"/>
      <c r="P1178" s="20">
        <f>O1178-N1178</f>
        <v/>
      </c>
      <c r="Q1178" s="20">
        <f>P1178*E1178</f>
        <v/>
      </c>
      <c r="R1178" s="20" t="n"/>
    </row>
    <row r="1179" ht="20" customHeight="1" s="1">
      <c r="A1179" s="16" t="inlineStr">
        <is>
          <t>21853</t>
        </is>
      </c>
      <c r="B1179" s="17" t="inlineStr">
        <is>
          <t>Sora Kozmetik</t>
        </is>
      </c>
      <c r="C1179" s="16" t="inlineStr">
        <is>
          <t>8699009464993</t>
        </is>
      </c>
      <c r="D1179" s="17" t="inlineStr">
        <is>
          <t>Tropicana Air Freshener Lily Of Valley 300Ml</t>
        </is>
      </c>
      <c r="E1179" s="18" t="n">
        <v>2.2</v>
      </c>
      <c r="F1179" s="18" t="n">
        <v>48</v>
      </c>
      <c r="G1179" s="18" t="n">
        <v>95</v>
      </c>
      <c r="H1179" s="18" t="n"/>
      <c r="I1179" s="18" t="n"/>
      <c r="J1179" s="18" t="n"/>
      <c r="K1179" s="19">
        <f>H1179+I1179+J1179</f>
        <v/>
      </c>
      <c r="L1179" s="19">
        <f>K1179-G1179</f>
        <v/>
      </c>
      <c r="M1179" s="20">
        <f>L1179*E1179</f>
        <v/>
      </c>
      <c r="N1179" s="20" t="n">
        <v>50</v>
      </c>
      <c r="O1179" s="20" t="n"/>
      <c r="P1179" s="20">
        <f>O1179-N1179</f>
        <v/>
      </c>
      <c r="Q1179" s="20">
        <f>P1179*E1179</f>
        <v/>
      </c>
      <c r="R1179" s="20" t="n"/>
    </row>
    <row r="1180" ht="20" customHeight="1" s="1">
      <c r="A1180" s="21" t="inlineStr">
        <is>
          <t>21854</t>
        </is>
      </c>
      <c r="B1180" s="22" t="inlineStr">
        <is>
          <t>Sora Kozmetik</t>
        </is>
      </c>
      <c r="C1180" s="21" t="inlineStr">
        <is>
          <t>8697418297478</t>
        </is>
      </c>
      <c r="D1180" s="22" t="inlineStr">
        <is>
          <t>Tropicana Air Freshener Lemon 300Ml</t>
        </is>
      </c>
      <c r="E1180" s="23" t="n">
        <v>2.2</v>
      </c>
      <c r="F1180" s="23" t="n">
        <v>48</v>
      </c>
      <c r="G1180" s="23" t="n">
        <v>26</v>
      </c>
      <c r="H1180" s="23" t="n"/>
      <c r="I1180" s="23" t="n"/>
      <c r="J1180" s="23" t="n"/>
      <c r="K1180" s="19">
        <f>H1180+I1180+J1180</f>
        <v/>
      </c>
      <c r="L1180" s="19">
        <f>K1180-G1180</f>
        <v/>
      </c>
      <c r="M1180" s="20">
        <f>L1180*E1180</f>
        <v/>
      </c>
      <c r="N1180" s="20" t="n">
        <v>50</v>
      </c>
      <c r="O1180" s="20" t="n"/>
      <c r="P1180" s="20">
        <f>O1180-N1180</f>
        <v/>
      </c>
      <c r="Q1180" s="20">
        <f>P1180*E1180</f>
        <v/>
      </c>
      <c r="R1180" s="20" t="n"/>
    </row>
    <row r="1181" ht="20" customHeight="1" s="1">
      <c r="A1181" s="16" t="inlineStr">
        <is>
          <t>21855</t>
        </is>
      </c>
      <c r="B1181" s="17" t="inlineStr">
        <is>
          <t>Sora Kozmetik</t>
        </is>
      </c>
      <c r="C1181" s="16" t="inlineStr">
        <is>
          <t>8697418297492</t>
        </is>
      </c>
      <c r="D1181" s="17" t="inlineStr">
        <is>
          <t>Tropicana Air Freshener Ocean Fresh 300Ml</t>
        </is>
      </c>
      <c r="E1181" s="18" t="n">
        <v>2.2</v>
      </c>
      <c r="F1181" s="18" t="n">
        <v>48</v>
      </c>
      <c r="G1181" s="18" t="n">
        <v>0</v>
      </c>
      <c r="H1181" s="18" t="n"/>
      <c r="I1181" s="18" t="n"/>
      <c r="J1181" s="18" t="n"/>
      <c r="K1181" s="19">
        <f>H1181+I1181+J1181</f>
        <v/>
      </c>
      <c r="L1181" s="19">
        <f>K1181-G1181</f>
        <v/>
      </c>
      <c r="M1181" s="20">
        <f>L1181*E1181</f>
        <v/>
      </c>
      <c r="N1181" s="20" t="n">
        <v>50</v>
      </c>
      <c r="O1181" s="20" t="n"/>
      <c r="P1181" s="20">
        <f>O1181-N1181</f>
        <v/>
      </c>
      <c r="Q1181" s="20">
        <f>P1181*E1181</f>
        <v/>
      </c>
      <c r="R1181" s="20" t="n"/>
    </row>
    <row r="1182" ht="20" customHeight="1" s="1">
      <c r="A1182" s="21" t="inlineStr">
        <is>
          <t>21856</t>
        </is>
      </c>
      <c r="B1182" s="22" t="inlineStr">
        <is>
          <t>Sora Kozmetik</t>
        </is>
      </c>
      <c r="C1182" s="21" t="inlineStr">
        <is>
          <t>8699009435344</t>
        </is>
      </c>
      <c r="D1182" s="22" t="inlineStr">
        <is>
          <t>Tropicana Air Freshener Orchid 300Ml</t>
        </is>
      </c>
      <c r="E1182" s="23" t="n">
        <v>2.2</v>
      </c>
      <c r="F1182" s="23" t="n">
        <v>48</v>
      </c>
      <c r="G1182" s="23" t="n">
        <v>90</v>
      </c>
      <c r="H1182" s="23" t="n"/>
      <c r="I1182" s="23" t="n"/>
      <c r="J1182" s="23" t="n"/>
      <c r="K1182" s="19">
        <f>H1182+I1182+J1182</f>
        <v/>
      </c>
      <c r="L1182" s="19">
        <f>K1182-G1182</f>
        <v/>
      </c>
      <c r="M1182" s="20">
        <f>L1182*E1182</f>
        <v/>
      </c>
      <c r="N1182" s="20" t="n">
        <v>50</v>
      </c>
      <c r="O1182" s="20" t="n"/>
      <c r="P1182" s="20">
        <f>O1182-N1182</f>
        <v/>
      </c>
      <c r="Q1182" s="20">
        <f>P1182*E1182</f>
        <v/>
      </c>
      <c r="R1182" s="20" t="n"/>
    </row>
    <row r="1183" ht="20" customHeight="1" s="1">
      <c r="A1183" s="16" t="inlineStr">
        <is>
          <t>21857</t>
        </is>
      </c>
      <c r="B1183" s="17" t="inlineStr">
        <is>
          <t>Sora Kozmetik</t>
        </is>
      </c>
      <c r="C1183" s="16" t="inlineStr">
        <is>
          <t>8697418292800</t>
        </is>
      </c>
      <c r="D1183" s="17" t="inlineStr">
        <is>
          <t>Tropicana Air Freshener Red Rose 300Ml</t>
        </is>
      </c>
      <c r="E1183" s="18" t="n">
        <v>2.2</v>
      </c>
      <c r="F1183" s="18" t="n">
        <v>48</v>
      </c>
      <c r="G1183" s="18" t="n">
        <v>33</v>
      </c>
      <c r="H1183" s="18" t="n"/>
      <c r="I1183" s="18" t="n"/>
      <c r="J1183" s="18" t="n"/>
      <c r="K1183" s="19">
        <f>H1183+I1183+J1183</f>
        <v/>
      </c>
      <c r="L1183" s="19">
        <f>K1183-G1183</f>
        <v/>
      </c>
      <c r="M1183" s="20">
        <f>L1183*E1183</f>
        <v/>
      </c>
      <c r="N1183" s="20" t="n">
        <v>50</v>
      </c>
      <c r="O1183" s="20" t="n"/>
      <c r="P1183" s="20">
        <f>O1183-N1183</f>
        <v/>
      </c>
      <c r="Q1183" s="20">
        <f>P1183*E1183</f>
        <v/>
      </c>
      <c r="R1183" s="20" t="n"/>
    </row>
    <row r="1184" ht="20" customHeight="1" s="1">
      <c r="A1184" s="21" t="inlineStr">
        <is>
          <t>21858</t>
        </is>
      </c>
      <c r="B1184" s="22" t="inlineStr">
        <is>
          <t>Sora Kozmetik</t>
        </is>
      </c>
      <c r="C1184" s="21" t="inlineStr">
        <is>
          <t>8697418297461</t>
        </is>
      </c>
      <c r="D1184" s="22" t="inlineStr">
        <is>
          <t>Tropicana Air Freshener Tutti Frutti 300Ml</t>
        </is>
      </c>
      <c r="E1184" s="23" t="n">
        <v>2.2</v>
      </c>
      <c r="F1184" s="23" t="n">
        <v>48</v>
      </c>
      <c r="G1184" s="23" t="n">
        <v>0</v>
      </c>
      <c r="H1184" s="23" t="n"/>
      <c r="I1184" s="23" t="n"/>
      <c r="J1184" s="23" t="n"/>
      <c r="K1184" s="19">
        <f>H1184+I1184+J1184</f>
        <v/>
      </c>
      <c r="L1184" s="19">
        <f>K1184-G1184</f>
        <v/>
      </c>
      <c r="M1184" s="20">
        <f>L1184*E1184</f>
        <v/>
      </c>
      <c r="N1184" s="20" t="n">
        <v>50</v>
      </c>
      <c r="O1184" s="20" t="n"/>
      <c r="P1184" s="20">
        <f>O1184-N1184</f>
        <v/>
      </c>
      <c r="Q1184" s="20">
        <f>P1184*E1184</f>
        <v/>
      </c>
      <c r="R1184" s="20" t="n"/>
    </row>
    <row r="1185" ht="20" customHeight="1" s="1">
      <c r="A1185" s="16" t="inlineStr">
        <is>
          <t>21859</t>
        </is>
      </c>
      <c r="B1185" s="17" t="inlineStr">
        <is>
          <t>Sora Kozmetik</t>
        </is>
      </c>
      <c r="C1185" s="16" t="inlineStr">
        <is>
          <t>8699009414028</t>
        </is>
      </c>
      <c r="D1185" s="17" t="inlineStr">
        <is>
          <t>Tropicana Air Freshener White Rose 300Ml</t>
        </is>
      </c>
      <c r="E1185" s="18" t="n">
        <v>2.2</v>
      </c>
      <c r="F1185" s="18" t="n">
        <v>48</v>
      </c>
      <c r="G1185" s="18" t="n">
        <v>34</v>
      </c>
      <c r="H1185" s="18" t="n"/>
      <c r="I1185" s="18" t="n"/>
      <c r="J1185" s="18" t="n"/>
      <c r="K1185" s="19">
        <f>H1185+I1185+J1185</f>
        <v/>
      </c>
      <c r="L1185" s="19">
        <f>K1185-G1185</f>
        <v/>
      </c>
      <c r="M1185" s="20">
        <f>L1185*E1185</f>
        <v/>
      </c>
      <c r="N1185" s="20" t="n">
        <v>50</v>
      </c>
      <c r="O1185" s="20" t="n"/>
      <c r="P1185" s="20">
        <f>O1185-N1185</f>
        <v/>
      </c>
      <c r="Q1185" s="20">
        <f>P1185*E1185</f>
        <v/>
      </c>
      <c r="R1185" s="20" t="n"/>
    </row>
    <row r="1186" ht="20" customHeight="1" s="1">
      <c r="A1186" s="21" t="inlineStr">
        <is>
          <t>21835</t>
        </is>
      </c>
      <c r="B1186" s="22" t="inlineStr">
        <is>
          <t>Sora Kozmetik</t>
        </is>
      </c>
      <c r="C1186" s="21" t="inlineStr">
        <is>
          <t>8699009413557</t>
        </is>
      </c>
      <c r="D1186" s="22" t="inlineStr">
        <is>
          <t>Tropicana Dispenser Air Freshener Anti Tobacco 260Ml</t>
        </is>
      </c>
      <c r="E1186" s="23" t="n">
        <v>3.3</v>
      </c>
      <c r="F1186" s="23" t="n">
        <v>48</v>
      </c>
      <c r="G1186" s="23" t="n">
        <v>107</v>
      </c>
      <c r="H1186" s="23" t="n"/>
      <c r="I1186" s="23" t="n"/>
      <c r="J1186" s="23" t="n"/>
      <c r="K1186" s="19">
        <f>H1186+I1186+J1186</f>
        <v/>
      </c>
      <c r="L1186" s="19">
        <f>K1186-G1186</f>
        <v/>
      </c>
      <c r="M1186" s="20">
        <f>L1186*E1186</f>
        <v/>
      </c>
      <c r="N1186" s="20" t="n">
        <v>50</v>
      </c>
      <c r="O1186" s="20" t="n"/>
      <c r="P1186" s="20">
        <f>O1186-N1186</f>
        <v/>
      </c>
      <c r="Q1186" s="20">
        <f>P1186*E1186</f>
        <v/>
      </c>
      <c r="R1186" s="20" t="n"/>
    </row>
    <row r="1187" ht="20" customHeight="1" s="1">
      <c r="A1187" s="16" t="inlineStr">
        <is>
          <t>21836</t>
        </is>
      </c>
      <c r="B1187" s="17" t="inlineStr">
        <is>
          <t>Sora Kozmetik</t>
        </is>
      </c>
      <c r="C1187" s="16" t="inlineStr">
        <is>
          <t>8699009413014</t>
        </is>
      </c>
      <c r="D1187" s="17" t="inlineStr">
        <is>
          <t>Tropicana Dispenser Air Freshener Bouquet 260Ml</t>
        </is>
      </c>
      <c r="E1187" s="18" t="n">
        <v>3.3</v>
      </c>
      <c r="F1187" s="18" t="n">
        <v>48</v>
      </c>
      <c r="G1187" s="18" t="n">
        <v>127</v>
      </c>
      <c r="H1187" s="18" t="n"/>
      <c r="I1187" s="18" t="n"/>
      <c r="J1187" s="18" t="n"/>
      <c r="K1187" s="19">
        <f>H1187+I1187+J1187</f>
        <v/>
      </c>
      <c r="L1187" s="19">
        <f>K1187-G1187</f>
        <v/>
      </c>
      <c r="M1187" s="20">
        <f>L1187*E1187</f>
        <v/>
      </c>
      <c r="N1187" s="20" t="n">
        <v>50</v>
      </c>
      <c r="O1187" s="20" t="n"/>
      <c r="P1187" s="20">
        <f>O1187-N1187</f>
        <v/>
      </c>
      <c r="Q1187" s="20">
        <f>P1187*E1187</f>
        <v/>
      </c>
      <c r="R1187" s="20" t="n"/>
    </row>
    <row r="1188" ht="20" customHeight="1" s="1">
      <c r="A1188" s="21" t="inlineStr">
        <is>
          <t>21837</t>
        </is>
      </c>
      <c r="B1188" s="22" t="inlineStr">
        <is>
          <t>Sora Kozmetik</t>
        </is>
      </c>
      <c r="C1188" s="21" t="inlineStr">
        <is>
          <t>8699009433821</t>
        </is>
      </c>
      <c r="D1188" s="22" t="inlineStr">
        <is>
          <t>Tropicana Dispenser Air Freshener Bubble Gum 260Ml</t>
        </is>
      </c>
      <c r="E1188" s="23" t="n">
        <v>3.3</v>
      </c>
      <c r="F1188" s="23" t="n">
        <v>48</v>
      </c>
      <c r="G1188" s="23" t="n">
        <v>107</v>
      </c>
      <c r="H1188" s="23" t="n"/>
      <c r="I1188" s="23" t="n"/>
      <c r="J1188" s="23" t="n"/>
      <c r="K1188" s="19">
        <f>H1188+I1188+J1188</f>
        <v/>
      </c>
      <c r="L1188" s="19">
        <f>K1188-G1188</f>
        <v/>
      </c>
      <c r="M1188" s="20">
        <f>L1188*E1188</f>
        <v/>
      </c>
      <c r="N1188" s="20" t="n">
        <v>50</v>
      </c>
      <c r="O1188" s="20" t="n"/>
      <c r="P1188" s="20">
        <f>O1188-N1188</f>
        <v/>
      </c>
      <c r="Q1188" s="20">
        <f>P1188*E1188</f>
        <v/>
      </c>
      <c r="R1188" s="20" t="n"/>
    </row>
    <row r="1189" ht="20" customHeight="1" s="1">
      <c r="A1189" s="16" t="inlineStr">
        <is>
          <t>21838</t>
        </is>
      </c>
      <c r="B1189" s="17" t="inlineStr">
        <is>
          <t>Sora Kozmetik</t>
        </is>
      </c>
      <c r="C1189" s="16" t="inlineStr">
        <is>
          <t>8699009433838</t>
        </is>
      </c>
      <c r="D1189" s="17" t="inlineStr">
        <is>
          <t>Tropicana Dispenser Air Freshener Cinnamon 260Ml</t>
        </is>
      </c>
      <c r="E1189" s="18" t="n">
        <v>3.3</v>
      </c>
      <c r="F1189" s="18" t="n">
        <v>48</v>
      </c>
      <c r="G1189" s="18" t="n">
        <v>131</v>
      </c>
      <c r="H1189" s="18" t="n"/>
      <c r="I1189" s="18" t="n"/>
      <c r="J1189" s="18" t="n"/>
      <c r="K1189" s="19">
        <f>H1189+I1189+J1189</f>
        <v/>
      </c>
      <c r="L1189" s="19">
        <f>K1189-G1189</f>
        <v/>
      </c>
      <c r="M1189" s="20">
        <f>L1189*E1189</f>
        <v/>
      </c>
      <c r="N1189" s="20" t="n">
        <v>50</v>
      </c>
      <c r="O1189" s="20" t="n"/>
      <c r="P1189" s="20">
        <f>O1189-N1189</f>
        <v/>
      </c>
      <c r="Q1189" s="20">
        <f>P1189*E1189</f>
        <v/>
      </c>
      <c r="R1189" s="20" t="n"/>
    </row>
    <row r="1190" ht="20" customHeight="1" s="1">
      <c r="A1190" s="21" t="inlineStr">
        <is>
          <t>21839</t>
        </is>
      </c>
      <c r="B1190" s="22" t="inlineStr">
        <is>
          <t>Sora Kozmetik</t>
        </is>
      </c>
      <c r="C1190" s="21" t="inlineStr">
        <is>
          <t>8699009433845</t>
        </is>
      </c>
      <c r="D1190" s="22" t="inlineStr">
        <is>
          <t>Tropicana Dispenser Air Freshener Coconut 260Ml</t>
        </is>
      </c>
      <c r="E1190" s="23" t="n">
        <v>3.3</v>
      </c>
      <c r="F1190" s="23" t="n">
        <v>48</v>
      </c>
      <c r="G1190" s="23" t="n">
        <v>122</v>
      </c>
      <c r="H1190" s="23" t="n"/>
      <c r="I1190" s="23" t="n"/>
      <c r="J1190" s="23" t="n"/>
      <c r="K1190" s="19">
        <f>H1190+I1190+J1190</f>
        <v/>
      </c>
      <c r="L1190" s="19">
        <f>K1190-G1190</f>
        <v/>
      </c>
      <c r="M1190" s="20">
        <f>L1190*E1190</f>
        <v/>
      </c>
      <c r="N1190" s="20" t="n">
        <v>50</v>
      </c>
      <c r="O1190" s="20" t="n"/>
      <c r="P1190" s="20">
        <f>O1190-N1190</f>
        <v/>
      </c>
      <c r="Q1190" s="20">
        <f>P1190*E1190</f>
        <v/>
      </c>
      <c r="R1190" s="20" t="n"/>
    </row>
    <row r="1191" ht="20" customHeight="1" s="1">
      <c r="A1191" s="16" t="inlineStr">
        <is>
          <t>21840</t>
        </is>
      </c>
      <c r="B1191" s="17" t="inlineStr">
        <is>
          <t>Sora Kozmetik</t>
        </is>
      </c>
      <c r="C1191" s="16" t="inlineStr">
        <is>
          <t>8699009422245</t>
        </is>
      </c>
      <c r="D1191" s="17" t="inlineStr">
        <is>
          <t>Tropicana Dispenser Air Freshener Fresh 260Ml</t>
        </is>
      </c>
      <c r="E1191" s="18" t="n">
        <v>3.3</v>
      </c>
      <c r="F1191" s="18" t="n">
        <v>48</v>
      </c>
      <c r="G1191" s="18" t="n">
        <v>111</v>
      </c>
      <c r="H1191" s="18" t="n"/>
      <c r="I1191" s="18" t="n"/>
      <c r="J1191" s="18" t="n"/>
      <c r="K1191" s="19">
        <f>H1191+I1191+J1191</f>
        <v/>
      </c>
      <c r="L1191" s="19">
        <f>K1191-G1191</f>
        <v/>
      </c>
      <c r="M1191" s="20">
        <f>L1191*E1191</f>
        <v/>
      </c>
      <c r="N1191" s="20" t="n">
        <v>50</v>
      </c>
      <c r="O1191" s="20" t="n"/>
      <c r="P1191" s="20">
        <f>O1191-N1191</f>
        <v/>
      </c>
      <c r="Q1191" s="20">
        <f>P1191*E1191</f>
        <v/>
      </c>
      <c r="R1191" s="20" t="n"/>
    </row>
    <row r="1192" ht="20" customHeight="1" s="1">
      <c r="A1192" s="21" t="inlineStr">
        <is>
          <t>21841</t>
        </is>
      </c>
      <c r="B1192" s="22" t="inlineStr">
        <is>
          <t>Sora Kozmetik</t>
        </is>
      </c>
      <c r="C1192" s="21" t="inlineStr">
        <is>
          <t>8699009422276</t>
        </is>
      </c>
      <c r="D1192" s="22" t="inlineStr">
        <is>
          <t>Tropicana Dispenser Air Freshener Garden 260Ml</t>
        </is>
      </c>
      <c r="E1192" s="23" t="n">
        <v>3.3</v>
      </c>
      <c r="F1192" s="23" t="n">
        <v>48</v>
      </c>
      <c r="G1192" s="23" t="n">
        <v>137</v>
      </c>
      <c r="H1192" s="23" t="n"/>
      <c r="I1192" s="23" t="n"/>
      <c r="J1192" s="23" t="n"/>
      <c r="K1192" s="19">
        <f>H1192+I1192+J1192</f>
        <v/>
      </c>
      <c r="L1192" s="19">
        <f>K1192-G1192</f>
        <v/>
      </c>
      <c r="M1192" s="20">
        <f>L1192*E1192</f>
        <v/>
      </c>
      <c r="N1192" s="20" t="n">
        <v>50</v>
      </c>
      <c r="O1192" s="20" t="n"/>
      <c r="P1192" s="20">
        <f>O1192-N1192</f>
        <v/>
      </c>
      <c r="Q1192" s="20">
        <f>P1192*E1192</f>
        <v/>
      </c>
      <c r="R1192" s="20" t="n"/>
    </row>
    <row r="1193" ht="20" customHeight="1" s="1">
      <c r="A1193" s="16" t="inlineStr">
        <is>
          <t>21842</t>
        </is>
      </c>
      <c r="B1193" s="17" t="inlineStr">
        <is>
          <t>Sora Kozmetik</t>
        </is>
      </c>
      <c r="C1193" s="16" t="inlineStr">
        <is>
          <t>8699009413021</t>
        </is>
      </c>
      <c r="D1193" s="17" t="inlineStr">
        <is>
          <t>Tropicana Dispenser Air Freshener Lavender 260Ml</t>
        </is>
      </c>
      <c r="E1193" s="18" t="n">
        <v>3.3</v>
      </c>
      <c r="F1193" s="18" t="n">
        <v>48</v>
      </c>
      <c r="G1193" s="18" t="n">
        <v>93</v>
      </c>
      <c r="H1193" s="18" t="n"/>
      <c r="I1193" s="18" t="n"/>
      <c r="J1193" s="18" t="n"/>
      <c r="K1193" s="19">
        <f>H1193+I1193+J1193</f>
        <v/>
      </c>
      <c r="L1193" s="19">
        <f>K1193-G1193</f>
        <v/>
      </c>
      <c r="M1193" s="20">
        <f>L1193*E1193</f>
        <v/>
      </c>
      <c r="N1193" s="20" t="n">
        <v>50</v>
      </c>
      <c r="O1193" s="20" t="n"/>
      <c r="P1193" s="20">
        <f>O1193-N1193</f>
        <v/>
      </c>
      <c r="Q1193" s="20">
        <f>P1193*E1193</f>
        <v/>
      </c>
      <c r="R1193" s="20" t="n"/>
    </row>
    <row r="1194" ht="20" customHeight="1" s="1">
      <c r="A1194" s="21" t="inlineStr">
        <is>
          <t>21843</t>
        </is>
      </c>
      <c r="B1194" s="22" t="inlineStr">
        <is>
          <t>Sora Kozmetik</t>
        </is>
      </c>
      <c r="C1194" s="21" t="inlineStr">
        <is>
          <t>8699009422269</t>
        </is>
      </c>
      <c r="D1194" s="22" t="inlineStr">
        <is>
          <t>Tropicana Dispenser Air Freshener Musk 260Ml</t>
        </is>
      </c>
      <c r="E1194" s="23" t="n">
        <v>3.3</v>
      </c>
      <c r="F1194" s="23" t="n">
        <v>48</v>
      </c>
      <c r="G1194" s="23" t="n">
        <v>137</v>
      </c>
      <c r="H1194" s="23" t="n"/>
      <c r="I1194" s="23" t="n"/>
      <c r="J1194" s="23" t="n"/>
      <c r="K1194" s="19">
        <f>H1194+I1194+J1194</f>
        <v/>
      </c>
      <c r="L1194" s="19">
        <f>K1194-G1194</f>
        <v/>
      </c>
      <c r="M1194" s="20">
        <f>L1194*E1194</f>
        <v/>
      </c>
      <c r="N1194" s="20" t="n">
        <v>50</v>
      </c>
      <c r="O1194" s="20" t="n"/>
      <c r="P1194" s="20">
        <f>O1194-N1194</f>
        <v/>
      </c>
      <c r="Q1194" s="20">
        <f>P1194*E1194</f>
        <v/>
      </c>
      <c r="R1194" s="20" t="n"/>
    </row>
    <row r="1195" ht="20" customHeight="1" s="1">
      <c r="A1195" s="16" t="inlineStr">
        <is>
          <t>21844</t>
        </is>
      </c>
      <c r="B1195" s="17" t="inlineStr">
        <is>
          <t>Sora Kozmetik</t>
        </is>
      </c>
      <c r="C1195" s="16" t="inlineStr">
        <is>
          <t>8699009464023</t>
        </is>
      </c>
      <c r="D1195" s="17" t="inlineStr">
        <is>
          <t>Tropicana Dispenser Air Freshener Ocean 260Ml</t>
        </is>
      </c>
      <c r="E1195" s="18" t="n">
        <v>3.3</v>
      </c>
      <c r="F1195" s="18" t="n">
        <v>48</v>
      </c>
      <c r="G1195" s="18" t="n">
        <v>105</v>
      </c>
      <c r="H1195" s="18" t="n"/>
      <c r="I1195" s="18" t="n"/>
      <c r="J1195" s="18" t="n"/>
      <c r="K1195" s="19">
        <f>H1195+I1195+J1195</f>
        <v/>
      </c>
      <c r="L1195" s="19">
        <f>K1195-G1195</f>
        <v/>
      </c>
      <c r="M1195" s="20">
        <f>L1195*E1195</f>
        <v/>
      </c>
      <c r="N1195" s="20" t="n">
        <v>50</v>
      </c>
      <c r="O1195" s="20" t="n"/>
      <c r="P1195" s="20">
        <f>O1195-N1195</f>
        <v/>
      </c>
      <c r="Q1195" s="20">
        <f>P1195*E1195</f>
        <v/>
      </c>
      <c r="R1195" s="20" t="n"/>
    </row>
    <row r="1196" ht="20" customHeight="1" s="1">
      <c r="A1196" s="21" t="inlineStr">
        <is>
          <t>21845</t>
        </is>
      </c>
      <c r="B1196" s="22" t="inlineStr">
        <is>
          <t>Sora Kozmetik</t>
        </is>
      </c>
      <c r="C1196" s="21" t="inlineStr">
        <is>
          <t>8699009422283</t>
        </is>
      </c>
      <c r="D1196" s="22" t="inlineStr">
        <is>
          <t>Tropicana Dispenser Air Freshener Pink Rose 260Ml</t>
        </is>
      </c>
      <c r="E1196" s="23" t="n">
        <v>3.3</v>
      </c>
      <c r="F1196" s="23" t="n">
        <v>48</v>
      </c>
      <c r="G1196" s="23" t="n">
        <v>122</v>
      </c>
      <c r="H1196" s="23" t="n"/>
      <c r="I1196" s="23" t="n"/>
      <c r="J1196" s="23" t="n"/>
      <c r="K1196" s="19">
        <f>H1196+I1196+J1196</f>
        <v/>
      </c>
      <c r="L1196" s="19">
        <f>K1196-G1196</f>
        <v/>
      </c>
      <c r="M1196" s="20">
        <f>L1196*E1196</f>
        <v/>
      </c>
      <c r="N1196" s="20" t="n">
        <v>50</v>
      </c>
      <c r="O1196" s="20" t="n"/>
      <c r="P1196" s="20">
        <f>O1196-N1196</f>
        <v/>
      </c>
      <c r="Q1196" s="20">
        <f>P1196*E1196</f>
        <v/>
      </c>
      <c r="R1196" s="20" t="n"/>
    </row>
    <row r="1197" ht="20" customHeight="1" s="1">
      <c r="A1197" s="16" t="inlineStr">
        <is>
          <t>21847</t>
        </is>
      </c>
      <c r="B1197" s="17" t="inlineStr">
        <is>
          <t>Sora Kozmetik</t>
        </is>
      </c>
      <c r="C1197" s="16" t="inlineStr">
        <is>
          <t>8699009422290</t>
        </is>
      </c>
      <c r="D1197" s="17" t="inlineStr">
        <is>
          <t>Tropicana Dispenser Air Freshener Soft 260Ml</t>
        </is>
      </c>
      <c r="E1197" s="18" t="n">
        <v>3.3</v>
      </c>
      <c r="F1197" s="18" t="n">
        <v>48</v>
      </c>
      <c r="G1197" s="18" t="n">
        <v>131</v>
      </c>
      <c r="H1197" s="18" t="n"/>
      <c r="I1197" s="18" t="n"/>
      <c r="J1197" s="18" t="n"/>
      <c r="K1197" s="19">
        <f>H1197+I1197+J1197</f>
        <v/>
      </c>
      <c r="L1197" s="19">
        <f>K1197-G1197</f>
        <v/>
      </c>
      <c r="M1197" s="20">
        <f>L1197*E1197</f>
        <v/>
      </c>
      <c r="N1197" s="20" t="n">
        <v>50</v>
      </c>
      <c r="O1197" s="20" t="n"/>
      <c r="P1197" s="20">
        <f>O1197-N1197</f>
        <v/>
      </c>
      <c r="Q1197" s="20">
        <f>P1197*E1197</f>
        <v/>
      </c>
      <c r="R1197" s="20" t="n"/>
    </row>
    <row r="1198" ht="20" customHeight="1" s="1">
      <c r="A1198" s="21" t="inlineStr">
        <is>
          <t>21848</t>
        </is>
      </c>
      <c r="B1198" s="22" t="inlineStr">
        <is>
          <t>Sora Kozmetik</t>
        </is>
      </c>
      <c r="C1198" s="21" t="inlineStr">
        <is>
          <t>8699009422252</t>
        </is>
      </c>
      <c r="D1198" s="22" t="inlineStr">
        <is>
          <t>Tropicana Dispenser Air Freshener Tropical 260Ml</t>
        </is>
      </c>
      <c r="E1198" s="23" t="n">
        <v>3.3</v>
      </c>
      <c r="F1198" s="23" t="n">
        <v>48</v>
      </c>
      <c r="G1198" s="23" t="n">
        <v>117</v>
      </c>
      <c r="H1198" s="23" t="n"/>
      <c r="I1198" s="23" t="n"/>
      <c r="J1198" s="23" t="n"/>
      <c r="K1198" s="19">
        <f>H1198+I1198+J1198</f>
        <v/>
      </c>
      <c r="L1198" s="19">
        <f>K1198-G1198</f>
        <v/>
      </c>
      <c r="M1198" s="20">
        <f>L1198*E1198</f>
        <v/>
      </c>
      <c r="N1198" s="20" t="n">
        <v>50</v>
      </c>
      <c r="O1198" s="20" t="n"/>
      <c r="P1198" s="20">
        <f>O1198-N1198</f>
        <v/>
      </c>
      <c r="Q1198" s="20">
        <f>P1198*E1198</f>
        <v/>
      </c>
      <c r="R1198" s="20" t="n"/>
    </row>
    <row r="1199" ht="20" customHeight="1" s="1">
      <c r="A1199" s="16" t="inlineStr">
        <is>
          <t>21849</t>
        </is>
      </c>
      <c r="B1199" s="17" t="inlineStr">
        <is>
          <t>Sora Kozmetik</t>
        </is>
      </c>
      <c r="C1199" s="16" t="inlineStr">
        <is>
          <t>8699009412994</t>
        </is>
      </c>
      <c r="D1199" s="17" t="inlineStr">
        <is>
          <t>Tropicana Dispenser Air Freshener Vanilla 260Ml</t>
        </is>
      </c>
      <c r="E1199" s="18" t="n">
        <v>3.3</v>
      </c>
      <c r="F1199" s="18" t="n">
        <v>48</v>
      </c>
      <c r="G1199" s="18" t="n">
        <v>139</v>
      </c>
      <c r="H1199" s="18" t="n"/>
      <c r="I1199" s="18" t="n"/>
      <c r="J1199" s="18" t="n"/>
      <c r="K1199" s="19">
        <f>H1199+I1199+J1199</f>
        <v/>
      </c>
      <c r="L1199" s="19">
        <f>K1199-G1199</f>
        <v/>
      </c>
      <c r="M1199" s="20">
        <f>L1199*E1199</f>
        <v/>
      </c>
      <c r="N1199" s="20" t="n">
        <v>50</v>
      </c>
      <c r="O1199" s="20" t="n"/>
      <c r="P1199" s="20">
        <f>O1199-N1199</f>
        <v/>
      </c>
      <c r="Q1199" s="20">
        <f>P1199*E1199</f>
        <v/>
      </c>
      <c r="R1199" s="20" t="n"/>
    </row>
    <row r="1200" ht="20" customHeight="1" s="1">
      <c r="A1200" s="21" t="inlineStr">
        <is>
          <t>21846</t>
        </is>
      </c>
      <c r="B1200" s="22" t="inlineStr">
        <is>
          <t>Sora Kozmetik</t>
        </is>
      </c>
      <c r="C1200" s="21" t="inlineStr">
        <is>
          <t>8699009413885</t>
        </is>
      </c>
      <c r="D1200" s="22" t="inlineStr">
        <is>
          <t>Tropicana Dispenser Air Freshener Rose 260 Ml</t>
        </is>
      </c>
      <c r="E1200" s="23" t="n">
        <v>3.3</v>
      </c>
      <c r="F1200" s="23" t="n">
        <v>48</v>
      </c>
      <c r="G1200" s="23" t="n">
        <v>115</v>
      </c>
      <c r="H1200" s="23" t="n"/>
      <c r="I1200" s="23" t="n"/>
      <c r="J1200" s="23" t="n"/>
      <c r="K1200" s="19">
        <f>H1200+I1200+J1200</f>
        <v/>
      </c>
      <c r="L1200" s="19">
        <f>K1200-G1200</f>
        <v/>
      </c>
      <c r="M1200" s="20">
        <f>L1200*E1200</f>
        <v/>
      </c>
      <c r="N1200" s="20" t="n">
        <v>50</v>
      </c>
      <c r="O1200" s="20" t="n"/>
      <c r="P1200" s="20">
        <f>O1200-N1200</f>
        <v/>
      </c>
      <c r="Q1200" s="20">
        <f>P1200*E1200</f>
        <v/>
      </c>
      <c r="R1200" s="20" t="n"/>
    </row>
    <row r="1201" ht="20" customHeight="1" s="1">
      <c r="A1201" s="16" t="inlineStr">
        <is>
          <t>20175</t>
        </is>
      </c>
      <c r="B1201" s="17" t="inlineStr">
        <is>
          <t>KALINA</t>
        </is>
      </c>
      <c r="C1201" s="16" t="inlineStr">
        <is>
          <t>4600702036978</t>
        </is>
      </c>
      <c r="D1201" s="17" t="inlineStr">
        <is>
          <t>Sampun C/L Krapiva 400 ml noviy</t>
        </is>
      </c>
      <c r="E1201" s="18" t="n">
        <v>4.9</v>
      </c>
      <c r="F1201" s="18" t="n">
        <v>12</v>
      </c>
      <c r="G1201" s="18" t="n">
        <v>4</v>
      </c>
      <c r="H1201" s="18" t="n"/>
      <c r="I1201" s="18" t="n"/>
      <c r="J1201" s="18" t="n"/>
      <c r="K1201" s="19" t="n"/>
      <c r="L1201" s="19" t="n"/>
      <c r="M1201" s="20" t="n"/>
      <c r="N1201" s="20" t="n">
        <v>50</v>
      </c>
      <c r="O1201" s="20" t="n">
        <v>50</v>
      </c>
      <c r="P1201" s="20">
        <f>O1201-N1201</f>
        <v/>
      </c>
      <c r="Q1201" s="20">
        <f>P1201*E1201</f>
        <v/>
      </c>
      <c r="R1201" s="20" t="inlineStr">
        <is>
          <t>Vuqar</t>
        </is>
      </c>
    </row>
    <row r="1202" ht="20" customHeight="1" s="1">
      <c r="A1202" s="21" t="inlineStr">
        <is>
          <t>20176</t>
        </is>
      </c>
      <c r="B1202" s="22" t="inlineStr">
        <is>
          <t>KALINA</t>
        </is>
      </c>
      <c r="C1202" s="21" t="inlineStr">
        <is>
          <t>4600702081480</t>
        </is>
      </c>
      <c r="D1202" s="22" t="inlineStr">
        <is>
          <t>Sampun C/L Ramaska 400 ml noviy</t>
        </is>
      </c>
      <c r="E1202" s="23" t="n">
        <v>4.9</v>
      </c>
      <c r="F1202" s="23" t="n">
        <v>12</v>
      </c>
      <c r="G1202" s="23" t="n">
        <v>1</v>
      </c>
      <c r="H1202" s="23" t="n"/>
      <c r="I1202" s="23" t="n"/>
      <c r="J1202" s="23" t="n"/>
      <c r="K1202" s="19" t="n"/>
      <c r="L1202" s="19" t="n"/>
      <c r="M1202" s="20" t="n"/>
      <c r="N1202" s="20" t="n">
        <v>50</v>
      </c>
      <c r="O1202" s="20" t="n">
        <v>30</v>
      </c>
      <c r="P1202" s="20">
        <f>O1202-N1202</f>
        <v/>
      </c>
      <c r="Q1202" s="20">
        <f>P1202*E1202</f>
        <v/>
      </c>
      <c r="R1202" s="20" t="inlineStr">
        <is>
          <t>Orxan</t>
        </is>
      </c>
    </row>
    <row r="1203" ht="20" customHeight="1" s="1">
      <c r="A1203" s="16" t="inlineStr">
        <is>
          <t>20177</t>
        </is>
      </c>
      <c r="B1203" s="17" t="inlineStr">
        <is>
          <t>KALINA</t>
        </is>
      </c>
      <c r="C1203" s="16" t="inlineStr">
        <is>
          <t>4600702082005</t>
        </is>
      </c>
      <c r="D1203" s="17" t="inlineStr">
        <is>
          <t>Sampun C/L Rost.ps. 400 ml new (top 20)</t>
        </is>
      </c>
      <c r="E1203" s="18" t="n">
        <v>4.9</v>
      </c>
      <c r="F1203" s="18" t="n">
        <v>12</v>
      </c>
      <c r="G1203" s="18" t="n">
        <v>74</v>
      </c>
      <c r="H1203" s="18" t="n"/>
      <c r="I1203" s="18" t="n"/>
      <c r="J1203" s="18" t="n"/>
      <c r="K1203" s="19">
        <f>H1203+I1203+J1203</f>
        <v/>
      </c>
      <c r="L1203" s="19">
        <f>K1203-G1203</f>
        <v/>
      </c>
      <c r="M1203" s="20">
        <f>L1203*E1203</f>
        <v/>
      </c>
      <c r="N1203" s="20" t="n">
        <v>50</v>
      </c>
      <c r="O1203" s="20" t="n"/>
      <c r="P1203" s="20">
        <f>O1203-N1203</f>
        <v/>
      </c>
      <c r="Q1203" s="20">
        <f>P1203*E1203</f>
        <v/>
      </c>
      <c r="R1203" s="20" t="n"/>
    </row>
    <row r="1204" ht="20" customHeight="1" s="1">
      <c r="A1204" s="21" t="inlineStr">
        <is>
          <t>20178</t>
        </is>
      </c>
      <c r="B1204" s="22" t="inlineStr">
        <is>
          <t>KALINA</t>
        </is>
      </c>
      <c r="C1204" s="21" t="inlineStr">
        <is>
          <t>4600702036916</t>
        </is>
      </c>
      <c r="D1204" s="22" t="inlineStr">
        <is>
          <t>Sampun C/L Selk.blesk Klever 400 ml noviy</t>
        </is>
      </c>
      <c r="E1204" s="23" t="n">
        <v>4.9</v>
      </c>
      <c r="F1204" s="23" t="n">
        <v>12</v>
      </c>
      <c r="G1204" s="23" t="n">
        <v>103</v>
      </c>
      <c r="H1204" s="23" t="n"/>
      <c r="I1204" s="23" t="n"/>
      <c r="J1204" s="23" t="n"/>
      <c r="K1204" s="19">
        <f>H1204+I1204+J1204</f>
        <v/>
      </c>
      <c r="L1204" s="19">
        <f>K1204-G1204</f>
        <v/>
      </c>
      <c r="M1204" s="20">
        <f>L1204*E1204</f>
        <v/>
      </c>
      <c r="N1204" s="20" t="n">
        <v>50</v>
      </c>
      <c r="O1204" s="20" t="n"/>
      <c r="P1204" s="20">
        <f>O1204-N1204</f>
        <v/>
      </c>
      <c r="Q1204" s="20">
        <f>P1204*E1204</f>
        <v/>
      </c>
      <c r="R1204" s="20" t="n"/>
    </row>
    <row r="1205" ht="20" customHeight="1" s="1">
      <c r="A1205" s="16" t="inlineStr">
        <is>
          <t>20179</t>
        </is>
      </c>
      <c r="B1205" s="17" t="inlineStr">
        <is>
          <t>KALINA</t>
        </is>
      </c>
      <c r="C1205" s="16" t="inlineStr">
        <is>
          <t>4600702081978</t>
        </is>
      </c>
      <c r="D1205" s="17" t="inlineStr">
        <is>
          <t>Sampun C/L Cel.Travi 400 ml noviy</t>
        </is>
      </c>
      <c r="E1205" s="18" t="n">
        <v>4.9</v>
      </c>
      <c r="F1205" s="18" t="n">
        <v>12</v>
      </c>
      <c r="G1205" s="18" t="n">
        <v>111</v>
      </c>
      <c r="H1205" s="18" t="n"/>
      <c r="I1205" s="18" t="n"/>
      <c r="J1205" s="18" t="n"/>
      <c r="K1205" s="19">
        <f>H1205+I1205+J1205</f>
        <v/>
      </c>
      <c r="L1205" s="19">
        <f>K1205-G1205</f>
        <v/>
      </c>
      <c r="M1205" s="20">
        <f>L1205*E1205</f>
        <v/>
      </c>
      <c r="N1205" s="20" t="n">
        <v>50</v>
      </c>
      <c r="O1205" s="20" t="n"/>
      <c r="P1205" s="20">
        <f>O1205-N1205</f>
        <v/>
      </c>
      <c r="Q1205" s="20">
        <f>P1205*E1205</f>
        <v/>
      </c>
      <c r="R1205" s="20" t="n"/>
    </row>
    <row r="1206" ht="20" customHeight="1" s="1">
      <c r="A1206" s="21" t="inlineStr">
        <is>
          <t>20180</t>
        </is>
      </c>
      <c r="B1206" s="22" t="inlineStr">
        <is>
          <t>KALINA</t>
        </is>
      </c>
      <c r="C1206" s="21" t="inlineStr">
        <is>
          <t>8714100828274</t>
        </is>
      </c>
      <c r="D1206" s="22" t="inlineStr">
        <is>
          <t>Samp C/L Ultrauvlajnenie d/vol 400 ml</t>
        </is>
      </c>
      <c r="E1206" s="23" t="n">
        <v>4.9</v>
      </c>
      <c r="F1206" s="23" t="n">
        <v>12</v>
      </c>
      <c r="G1206" s="23" t="n">
        <v>90</v>
      </c>
      <c r="H1206" s="23" t="n"/>
      <c r="I1206" s="23" t="n"/>
      <c r="J1206" s="23" t="n"/>
      <c r="K1206" s="19">
        <f>H1206+I1206+J1206</f>
        <v/>
      </c>
      <c r="L1206" s="19">
        <f>K1206-G1206</f>
        <v/>
      </c>
      <c r="M1206" s="20">
        <f>L1206*E1206</f>
        <v/>
      </c>
      <c r="N1206" s="20" t="n">
        <v>50</v>
      </c>
      <c r="O1206" s="20" t="n"/>
      <c r="P1206" s="20">
        <f>O1206-N1206</f>
        <v/>
      </c>
      <c r="Q1206" s="20">
        <f>P1206*E1206</f>
        <v/>
      </c>
      <c r="R1206" s="20" t="n"/>
    </row>
    <row r="1207" ht="20" customHeight="1" s="1">
      <c r="A1207" s="16" t="inlineStr">
        <is>
          <t>20181</t>
        </is>
      </c>
      <c r="B1207" s="17" t="inlineStr">
        <is>
          <t>KALINA</t>
        </is>
      </c>
      <c r="C1207" s="16" t="inlineStr">
        <is>
          <t>8714100717509</t>
        </is>
      </c>
      <c r="D1207" s="17" t="inlineStr">
        <is>
          <t>Samp C/L Protiv Vipadeniya vol 400 ml</t>
        </is>
      </c>
      <c r="E1207" s="18" t="n">
        <v>4.9</v>
      </c>
      <c r="F1207" s="18" t="n">
        <v>12</v>
      </c>
      <c r="G1207" s="18" t="n">
        <v>60</v>
      </c>
      <c r="H1207" s="18" t="n"/>
      <c r="I1207" s="18" t="n"/>
      <c r="J1207" s="18" t="n"/>
      <c r="K1207" s="19">
        <f>H1207+I1207+J1207</f>
        <v/>
      </c>
      <c r="L1207" s="19">
        <f>K1207-G1207</f>
        <v/>
      </c>
      <c r="M1207" s="20">
        <f>L1207*E1207</f>
        <v/>
      </c>
      <c r="N1207" s="20" t="n">
        <v>50</v>
      </c>
      <c r="O1207" s="20" t="n"/>
      <c r="P1207" s="20">
        <f>O1207-N1207</f>
        <v/>
      </c>
      <c r="Q1207" s="20">
        <f>P1207*E1207</f>
        <v/>
      </c>
      <c r="R1207" s="20" t="n"/>
    </row>
    <row r="1208" ht="20" customHeight="1" s="1">
      <c r="A1208" s="21" t="inlineStr">
        <is>
          <t>20182</t>
        </is>
      </c>
      <c r="B1208" s="22" t="inlineStr">
        <is>
          <t>KALINA</t>
        </is>
      </c>
      <c r="C1208" s="21" t="inlineStr">
        <is>
          <t>8714100717561</t>
        </is>
      </c>
      <c r="D1208" s="22" t="inlineStr">
        <is>
          <t>Samp C/L Pitanie i uxod 400 ml</t>
        </is>
      </c>
      <c r="E1208" s="23" t="n">
        <v>4.9</v>
      </c>
      <c r="F1208" s="23" t="n">
        <v>12</v>
      </c>
      <c r="G1208" s="23" t="n">
        <v>48</v>
      </c>
      <c r="H1208" s="23" t="n"/>
      <c r="I1208" s="23" t="n"/>
      <c r="J1208" s="23" t="n"/>
      <c r="K1208" s="19">
        <f>H1208+I1208+J1208</f>
        <v/>
      </c>
      <c r="L1208" s="19">
        <f>K1208-G1208</f>
        <v/>
      </c>
      <c r="M1208" s="20">
        <f>L1208*E1208</f>
        <v/>
      </c>
      <c r="N1208" s="20" t="n">
        <v>50</v>
      </c>
      <c r="O1208" s="20" t="n"/>
      <c r="P1208" s="20">
        <f>O1208-N1208</f>
        <v/>
      </c>
      <c r="Q1208" s="20">
        <f>P1208*E1208</f>
        <v/>
      </c>
      <c r="R1208" s="20" t="n"/>
    </row>
    <row r="1209" ht="20" customHeight="1" s="1">
      <c r="A1209" s="16" t="inlineStr">
        <is>
          <t>20183</t>
        </is>
      </c>
      <c r="B1209" s="17" t="inlineStr">
        <is>
          <t>KALINA</t>
        </is>
      </c>
      <c r="C1209" s="16" t="inlineStr">
        <is>
          <t>4600702089745</t>
        </is>
      </c>
      <c r="D1209" s="17" t="inlineStr">
        <is>
          <t>Sampun Berezoviy C/L d/vsey semiy 400ml</t>
        </is>
      </c>
      <c r="E1209" s="18" t="n">
        <v>4.9</v>
      </c>
      <c r="F1209" s="18" t="n">
        <v>12</v>
      </c>
      <c r="G1209" s="18" t="n">
        <v>35</v>
      </c>
      <c r="H1209" s="18" t="n"/>
      <c r="I1209" s="18" t="n"/>
      <c r="J1209" s="18" t="n"/>
      <c r="K1209" s="19">
        <f>H1209+I1209+J1209</f>
        <v/>
      </c>
      <c r="L1209" s="19">
        <f>K1209-G1209</f>
        <v/>
      </c>
      <c r="M1209" s="20">
        <f>L1209*E1209</f>
        <v/>
      </c>
      <c r="N1209" s="20" t="n">
        <v>50</v>
      </c>
      <c r="O1209" s="20" t="n"/>
      <c r="P1209" s="20">
        <f>O1209-N1209</f>
        <v/>
      </c>
      <c r="Q1209" s="20">
        <f>P1209*E1209</f>
        <v/>
      </c>
      <c r="R1209" s="20" t="n"/>
    </row>
    <row r="1210" ht="20" customHeight="1" s="1">
      <c r="A1210" s="21" t="inlineStr">
        <is>
          <t>20184</t>
        </is>
      </c>
      <c r="B1210" s="22" t="inlineStr">
        <is>
          <t>KALINA</t>
        </is>
      </c>
      <c r="C1210" s="21" t="inlineStr">
        <is>
          <t>8714100828373</t>
        </is>
      </c>
      <c r="D1210" s="22" t="inlineStr">
        <is>
          <t>Samp C/L Intensivnoe Pitanie d/vol 400 ml</t>
        </is>
      </c>
      <c r="E1210" s="23" t="n">
        <v>4.9</v>
      </c>
      <c r="F1210" s="23" t="n">
        <v>12</v>
      </c>
      <c r="G1210" s="23" t="n">
        <v>46</v>
      </c>
      <c r="H1210" s="23" t="n"/>
      <c r="I1210" s="23" t="n"/>
      <c r="J1210" s="23" t="n"/>
      <c r="K1210" s="19">
        <f>H1210+I1210+J1210</f>
        <v/>
      </c>
      <c r="L1210" s="19">
        <f>K1210-G1210</f>
        <v/>
      </c>
      <c r="M1210" s="20">
        <f>L1210*E1210</f>
        <v/>
      </c>
      <c r="N1210" s="20" t="n">
        <v>50</v>
      </c>
      <c r="O1210" s="20" t="n"/>
      <c r="P1210" s="20">
        <f>O1210-N1210</f>
        <v/>
      </c>
      <c r="Q1210" s="20">
        <f>P1210*E1210</f>
        <v/>
      </c>
      <c r="R1210" s="20" t="n"/>
    </row>
    <row r="1211" ht="20" customHeight="1" s="1">
      <c r="A1211" s="16" t="inlineStr">
        <is>
          <t>20185</t>
        </is>
      </c>
      <c r="B1211" s="17" t="inlineStr">
        <is>
          <t>KALINA</t>
        </is>
      </c>
      <c r="C1211" s="16" t="inlineStr">
        <is>
          <t>4600702044782</t>
        </is>
      </c>
      <c r="D1211" s="17" t="inlineStr">
        <is>
          <t>Samp. C/L 2v1 na otvare celebnix trav  400 ml</t>
        </is>
      </c>
      <c r="E1211" s="18" t="n">
        <v>4.9</v>
      </c>
      <c r="F1211" s="18" t="n">
        <v>12</v>
      </c>
      <c r="G1211" s="18" t="n">
        <v>74</v>
      </c>
      <c r="H1211" s="18" t="n"/>
      <c r="I1211" s="18" t="n"/>
      <c r="J1211" s="18" t="n"/>
      <c r="K1211" s="19">
        <f>H1211+I1211+J1211</f>
        <v/>
      </c>
      <c r="L1211" s="19">
        <f>K1211-G1211</f>
        <v/>
      </c>
      <c r="M1211" s="20">
        <f>L1211*E1211</f>
        <v/>
      </c>
      <c r="N1211" s="20" t="n">
        <v>50</v>
      </c>
      <c r="O1211" s="20" t="n"/>
      <c r="P1211" s="20">
        <f>O1211-N1211</f>
        <v/>
      </c>
      <c r="Q1211" s="20">
        <f>P1211*E1211</f>
        <v/>
      </c>
      <c r="R1211" s="20" t="n"/>
    </row>
    <row r="1212" ht="20" customHeight="1" s="1">
      <c r="A1212" s="21" t="inlineStr">
        <is>
          <t>20186</t>
        </is>
      </c>
      <c r="B1212" s="22" t="inlineStr">
        <is>
          <t>KALINA</t>
        </is>
      </c>
      <c r="C1212" s="21" t="inlineStr">
        <is>
          <t>8714100828908</t>
        </is>
      </c>
      <c r="D1212" s="22" t="inlineStr">
        <is>
          <t>Samp C/L Svejest i Detoks d/vol 400ml</t>
        </is>
      </c>
      <c r="E1212" s="23" t="n">
        <v>4.9</v>
      </c>
      <c r="F1212" s="23" t="n">
        <v>12</v>
      </c>
      <c r="G1212" s="23" t="n">
        <v>89</v>
      </c>
      <c r="H1212" s="23" t="n"/>
      <c r="I1212" s="23" t="n"/>
      <c r="J1212" s="23" t="n"/>
      <c r="K1212" s="19">
        <f>H1212+I1212+J1212</f>
        <v/>
      </c>
      <c r="L1212" s="19">
        <f>K1212-G1212</f>
        <v/>
      </c>
      <c r="M1212" s="20">
        <f>L1212*E1212</f>
        <v/>
      </c>
      <c r="N1212" s="20" t="n">
        <v>50</v>
      </c>
      <c r="O1212" s="20" t="n"/>
      <c r="P1212" s="20">
        <f>O1212-N1212</f>
        <v/>
      </c>
      <c r="Q1212" s="20">
        <f>P1212*E1212</f>
        <v/>
      </c>
      <c r="R1212" s="20" t="n"/>
    </row>
    <row r="1213" ht="20" customHeight="1" s="1">
      <c r="A1213" s="16" t="inlineStr">
        <is>
          <t>20188</t>
        </is>
      </c>
      <c r="B1213" s="17" t="inlineStr">
        <is>
          <t>KALINA</t>
        </is>
      </c>
      <c r="C1213" s="16" t="inlineStr">
        <is>
          <t>4600702098877</t>
        </is>
      </c>
      <c r="D1213" s="17" t="inlineStr">
        <is>
          <t>Samp C/L Fitobanya d/vsex tipov vol  400 ml</t>
        </is>
      </c>
      <c r="E1213" s="18" t="n">
        <v>4.9</v>
      </c>
      <c r="F1213" s="18" t="n">
        <v>12</v>
      </c>
      <c r="G1213" s="18" t="n">
        <v>55</v>
      </c>
      <c r="H1213" s="18" t="n"/>
      <c r="I1213" s="18" t="n"/>
      <c r="J1213" s="18" t="n"/>
      <c r="K1213" s="19">
        <f>H1213+I1213+J1213</f>
        <v/>
      </c>
      <c r="L1213" s="19">
        <f>K1213-G1213</f>
        <v/>
      </c>
      <c r="M1213" s="20">
        <f>L1213*E1213</f>
        <v/>
      </c>
      <c r="N1213" s="20" t="n">
        <v>50</v>
      </c>
      <c r="O1213" s="20" t="n"/>
      <c r="P1213" s="20">
        <f>O1213-N1213</f>
        <v/>
      </c>
      <c r="Q1213" s="20">
        <f>P1213*E1213</f>
        <v/>
      </c>
      <c r="R1213" s="20" t="n"/>
    </row>
    <row r="1214" ht="20" customHeight="1" s="1">
      <c r="A1214" s="21" t="inlineStr">
        <is>
          <t>20189</t>
        </is>
      </c>
      <c r="B1214" s="22" t="inlineStr">
        <is>
          <t>KALINA</t>
        </is>
      </c>
      <c r="C1214" s="21" t="inlineStr">
        <is>
          <t>4605922316497</t>
        </is>
      </c>
      <c r="D1214" s="22" t="inlineStr">
        <is>
          <t>Samp C/L Sila 5 Trav d/vsex tipov vol 400ml</t>
        </is>
      </c>
      <c r="E1214" s="23" t="n">
        <v>4.9</v>
      </c>
      <c r="F1214" s="23" t="n">
        <v>12</v>
      </c>
      <c r="G1214" s="23" t="n">
        <v>42</v>
      </c>
      <c r="H1214" s="23" t="n"/>
      <c r="I1214" s="23" t="n"/>
      <c r="J1214" s="23" t="n"/>
      <c r="K1214" s="19">
        <f>H1214+I1214+J1214</f>
        <v/>
      </c>
      <c r="L1214" s="19">
        <f>K1214-G1214</f>
        <v/>
      </c>
      <c r="M1214" s="20">
        <f>L1214*E1214</f>
        <v/>
      </c>
      <c r="N1214" s="20" t="n">
        <v>50</v>
      </c>
      <c r="O1214" s="20" t="n"/>
      <c r="P1214" s="20">
        <f>O1214-N1214</f>
        <v/>
      </c>
      <c r="Q1214" s="20">
        <f>P1214*E1214</f>
        <v/>
      </c>
      <c r="R1214" s="20" t="n"/>
    </row>
    <row r="1215" ht="20" customHeight="1" s="1">
      <c r="A1215" s="16" t="inlineStr">
        <is>
          <t>20268</t>
        </is>
      </c>
      <c r="B1215" s="17" t="inlineStr">
        <is>
          <t>KALINA</t>
        </is>
      </c>
      <c r="C1215" s="16" t="inlineStr">
        <is>
          <t>8714100919293</t>
        </is>
      </c>
      <c r="D1215" s="17" t="inlineStr">
        <is>
          <t>Samp C/L Natura Ekspress vosstanovlenie 400 ml</t>
        </is>
      </c>
      <c r="E1215" s="18" t="n">
        <v>4.9</v>
      </c>
      <c r="F1215" s="18" t="n">
        <v>12</v>
      </c>
      <c r="G1215" s="18" t="n">
        <v>73</v>
      </c>
      <c r="H1215" s="18" t="n"/>
      <c r="I1215" s="18" t="n"/>
      <c r="J1215" s="18" t="n"/>
      <c r="K1215" s="19">
        <f>H1215+I1215+J1215</f>
        <v/>
      </c>
      <c r="L1215" s="19">
        <f>K1215-G1215</f>
        <v/>
      </c>
      <c r="M1215" s="20">
        <f>L1215*E1215</f>
        <v/>
      </c>
      <c r="N1215" s="20" t="n">
        <v>50</v>
      </c>
      <c r="O1215" s="20" t="n"/>
      <c r="P1215" s="20">
        <f>O1215-N1215</f>
        <v/>
      </c>
      <c r="Q1215" s="20">
        <f>P1215*E1215</f>
        <v/>
      </c>
      <c r="R1215" s="20" t="n"/>
    </row>
    <row r="1216" ht="20" customHeight="1" s="1">
      <c r="A1216" s="21" t="inlineStr">
        <is>
          <t>20269</t>
        </is>
      </c>
      <c r="B1216" s="22" t="inlineStr">
        <is>
          <t>KALINA</t>
        </is>
      </c>
      <c r="C1216" s="21" t="inlineStr">
        <is>
          <t>8714100920466</t>
        </is>
      </c>
      <c r="D1216" s="22" t="inlineStr">
        <is>
          <t>Samp-balzam C/L Micellyarniy 2v1 400 ml</t>
        </is>
      </c>
      <c r="E1216" s="23" t="n">
        <v>4.9</v>
      </c>
      <c r="F1216" s="23" t="n">
        <v>12</v>
      </c>
      <c r="G1216" s="23" t="n">
        <v>43</v>
      </c>
      <c r="H1216" s="23" t="n"/>
      <c r="I1216" s="23" t="n"/>
      <c r="J1216" s="23" t="n"/>
      <c r="K1216" s="19">
        <f>H1216+I1216+J1216</f>
        <v/>
      </c>
      <c r="L1216" s="19">
        <f>K1216-G1216</f>
        <v/>
      </c>
      <c r="M1216" s="20">
        <f>L1216*E1216</f>
        <v/>
      </c>
      <c r="N1216" s="20" t="n">
        <v>50</v>
      </c>
      <c r="O1216" s="20" t="n"/>
      <c r="P1216" s="20">
        <f>O1216-N1216</f>
        <v/>
      </c>
      <c r="Q1216" s="20">
        <f>P1216*E1216</f>
        <v/>
      </c>
      <c r="R1216" s="20" t="n"/>
    </row>
    <row r="1217" ht="20" customHeight="1" s="1">
      <c r="A1217" s="16" t="inlineStr">
        <is>
          <t>20187</t>
        </is>
      </c>
      <c r="B1217" s="17" t="inlineStr">
        <is>
          <t>KALINA</t>
        </is>
      </c>
      <c r="C1217" s="16" t="inlineStr">
        <is>
          <t>8720633005631</t>
        </is>
      </c>
      <c r="D1217" s="17" t="inlineStr">
        <is>
          <t>Samp-balzm C/L Selkovistie lokon 400 ml</t>
        </is>
      </c>
      <c r="E1217" s="18" t="n">
        <v>4.9</v>
      </c>
      <c r="F1217" s="18" t="n">
        <v>12</v>
      </c>
      <c r="G1217" s="18" t="n">
        <v>30</v>
      </c>
      <c r="H1217" s="18" t="n"/>
      <c r="I1217" s="18" t="n"/>
      <c r="J1217" s="18" t="n"/>
      <c r="K1217" s="19">
        <f>H1217+I1217+J1217</f>
        <v/>
      </c>
      <c r="L1217" s="19">
        <f>K1217-G1217</f>
        <v/>
      </c>
      <c r="M1217" s="20">
        <f>L1217*E1217</f>
        <v/>
      </c>
      <c r="N1217" s="20" t="n">
        <v>50</v>
      </c>
      <c r="O1217" s="20" t="n"/>
      <c r="P1217" s="20">
        <f>O1217-N1217</f>
        <v/>
      </c>
      <c r="Q1217" s="20">
        <f>P1217*E1217</f>
        <v/>
      </c>
      <c r="R1217" s="20" t="n"/>
    </row>
    <row r="1218" ht="20" customHeight="1" s="1">
      <c r="A1218" s="21" t="inlineStr">
        <is>
          <t>20170</t>
        </is>
      </c>
      <c r="B1218" s="22" t="inlineStr">
        <is>
          <t>KALINA</t>
        </is>
      </c>
      <c r="C1218" s="21" t="inlineStr">
        <is>
          <t>4600702081565</t>
        </is>
      </c>
      <c r="D1218" s="22" t="inlineStr">
        <is>
          <t>Sampun C/L Krapiva  250 ml noviy (top 20)</t>
        </is>
      </c>
      <c r="E1218" s="23" t="n">
        <v>3.65</v>
      </c>
      <c r="F1218" s="23" t="n">
        <v>12</v>
      </c>
      <c r="G1218" s="23" t="n">
        <v>372</v>
      </c>
      <c r="H1218" s="23" t="n"/>
      <c r="I1218" s="23" t="n"/>
      <c r="J1218" s="23" t="n"/>
      <c r="K1218" s="19">
        <f>H1218+I1218+J1218</f>
        <v/>
      </c>
      <c r="L1218" s="19">
        <f>K1218-G1218</f>
        <v/>
      </c>
      <c r="M1218" s="20">
        <f>L1218*E1218</f>
        <v/>
      </c>
      <c r="N1218" s="20" t="n">
        <v>50</v>
      </c>
      <c r="O1218" s="20" t="n"/>
      <c r="P1218" s="20">
        <f>O1218-N1218</f>
        <v/>
      </c>
      <c r="Q1218" s="20">
        <f>P1218*E1218</f>
        <v/>
      </c>
      <c r="R1218" s="20" t="n"/>
    </row>
    <row r="1219" ht="20" customHeight="1" s="1">
      <c r="A1219" s="16" t="inlineStr">
        <is>
          <t>20171</t>
        </is>
      </c>
      <c r="B1219" s="17" t="inlineStr">
        <is>
          <t>KALINA</t>
        </is>
      </c>
      <c r="C1219" s="16" t="inlineStr">
        <is>
          <t>4600702081558</t>
        </is>
      </c>
      <c r="D1219" s="17" t="inlineStr">
        <is>
          <t>Sam.C/L Romaska 250 ml noviy</t>
        </is>
      </c>
      <c r="E1219" s="18" t="n">
        <v>3.65</v>
      </c>
      <c r="F1219" s="18" t="n">
        <v>12</v>
      </c>
      <c r="G1219" s="18" t="n">
        <v>125</v>
      </c>
      <c r="H1219" s="18" t="n"/>
      <c r="I1219" s="18" t="n"/>
      <c r="J1219" s="18" t="n"/>
      <c r="K1219" s="19">
        <f>H1219+I1219+J1219</f>
        <v/>
      </c>
      <c r="L1219" s="19">
        <f>K1219-G1219</f>
        <v/>
      </c>
      <c r="M1219" s="20">
        <f>L1219*E1219</f>
        <v/>
      </c>
      <c r="N1219" s="20" t="n">
        <v>50</v>
      </c>
      <c r="O1219" s="20" t="n"/>
      <c r="P1219" s="20">
        <f>O1219-N1219</f>
        <v/>
      </c>
      <c r="Q1219" s="20">
        <f>P1219*E1219</f>
        <v/>
      </c>
      <c r="R1219" s="20" t="n"/>
    </row>
    <row r="1220" ht="20" customHeight="1" s="1">
      <c r="A1220" s="21" t="inlineStr">
        <is>
          <t>20172</t>
        </is>
      </c>
      <c r="B1220" s="22" t="inlineStr">
        <is>
          <t>KALINA</t>
        </is>
      </c>
      <c r="C1220" s="21" t="inlineStr">
        <is>
          <t>4600702082012</t>
        </is>
      </c>
      <c r="D1220" s="22" t="inlineStr">
        <is>
          <t>Sampun C/L Rost.ps.  250 ml noviy</t>
        </is>
      </c>
      <c r="E1220" s="23" t="n">
        <v>3.65</v>
      </c>
      <c r="F1220" s="23" t="n">
        <v>12</v>
      </c>
      <c r="G1220" s="23" t="n">
        <v>50</v>
      </c>
      <c r="H1220" s="23" t="n"/>
      <c r="I1220" s="23" t="n"/>
      <c r="J1220" s="23" t="n"/>
      <c r="K1220" s="19">
        <f>H1220+I1220+J1220</f>
        <v/>
      </c>
      <c r="L1220" s="19">
        <f>K1220-G1220</f>
        <v/>
      </c>
      <c r="M1220" s="20">
        <f>L1220*E1220</f>
        <v/>
      </c>
      <c r="N1220" s="20" t="n">
        <v>50</v>
      </c>
      <c r="O1220" s="20" t="n"/>
      <c r="P1220" s="20">
        <f>O1220-N1220</f>
        <v/>
      </c>
      <c r="Q1220" s="20">
        <f>P1220*E1220</f>
        <v/>
      </c>
      <c r="R1220" s="20" t="n"/>
    </row>
    <row r="1221" ht="20" customHeight="1" s="1">
      <c r="A1221" s="16" t="inlineStr">
        <is>
          <t>20173</t>
        </is>
      </c>
      <c r="B1221" s="17" t="inlineStr">
        <is>
          <t>KALINA</t>
        </is>
      </c>
      <c r="C1221" s="16" t="inlineStr">
        <is>
          <t>4600702089738</t>
        </is>
      </c>
      <c r="D1221" s="17" t="inlineStr">
        <is>
          <t>Sam C/L Berezoviy d/vsey semiy 250ml</t>
        </is>
      </c>
      <c r="E1221" s="18" t="n">
        <v>3.65</v>
      </c>
      <c r="F1221" s="18" t="n">
        <v>12</v>
      </c>
      <c r="G1221" s="18" t="n">
        <v>35</v>
      </c>
      <c r="H1221" s="18" t="n"/>
      <c r="I1221" s="18" t="n"/>
      <c r="J1221" s="18" t="n"/>
      <c r="K1221" s="19">
        <f>H1221+I1221+J1221</f>
        <v/>
      </c>
      <c r="L1221" s="19">
        <f>K1221-G1221</f>
        <v/>
      </c>
      <c r="M1221" s="20">
        <f>L1221*E1221</f>
        <v/>
      </c>
      <c r="N1221" s="20" t="n">
        <v>50</v>
      </c>
      <c r="O1221" s="20" t="n"/>
      <c r="P1221" s="20">
        <f>O1221-N1221</f>
        <v/>
      </c>
      <c r="Q1221" s="20">
        <f>P1221*E1221</f>
        <v/>
      </c>
      <c r="R1221" s="20" t="n"/>
    </row>
    <row r="1222" ht="20" customHeight="1" s="1">
      <c r="A1222" s="21" t="inlineStr">
        <is>
          <t>20174</t>
        </is>
      </c>
      <c r="B1222" s="22" t="inlineStr">
        <is>
          <t>KALINA</t>
        </is>
      </c>
      <c r="C1222" s="21" t="inlineStr">
        <is>
          <t>4600702081589</t>
        </is>
      </c>
      <c r="D1222" s="22" t="inlineStr">
        <is>
          <t>Sampun C/L 2v1 na otvare celebnix trav 250 ml</t>
        </is>
      </c>
      <c r="E1222" s="23" t="n">
        <v>3.65</v>
      </c>
      <c r="F1222" s="23" t="n">
        <v>12</v>
      </c>
      <c r="G1222" s="23" t="n">
        <v>54</v>
      </c>
      <c r="H1222" s="23" t="n"/>
      <c r="I1222" s="23" t="n"/>
      <c r="J1222" s="23" t="n"/>
      <c r="K1222" s="19">
        <f>H1222+I1222+J1222</f>
        <v/>
      </c>
      <c r="L1222" s="19">
        <f>K1222-G1222</f>
        <v/>
      </c>
      <c r="M1222" s="20">
        <f>L1222*E1222</f>
        <v/>
      </c>
      <c r="N1222" s="20" t="n">
        <v>50</v>
      </c>
      <c r="O1222" s="20" t="n"/>
      <c r="P1222" s="20">
        <f>O1222-N1222</f>
        <v/>
      </c>
      <c r="Q1222" s="20">
        <f>P1222*E1222</f>
        <v/>
      </c>
      <c r="R1222" s="20" t="n"/>
    </row>
    <row r="1223" ht="20" customHeight="1" s="1">
      <c r="A1223" s="16" t="inlineStr">
        <is>
          <t>20267</t>
        </is>
      </c>
      <c r="B1223" s="17" t="inlineStr">
        <is>
          <t>KALINA</t>
        </is>
      </c>
      <c r="C1223" s="16" t="inlineStr">
        <is>
          <t>8714100920480</t>
        </is>
      </c>
      <c r="D1223" s="17" t="inlineStr">
        <is>
          <t>Samp-balzam C/L Micellyarniy 2v1 250 ml</t>
        </is>
      </c>
      <c r="E1223" s="18" t="n">
        <v>3.65</v>
      </c>
      <c r="F1223" s="18" t="n">
        <v>12</v>
      </c>
      <c r="G1223" s="18" t="n">
        <v>27</v>
      </c>
      <c r="H1223" s="18" t="n"/>
      <c r="I1223" s="18" t="n"/>
      <c r="J1223" s="18" t="n"/>
      <c r="K1223" s="19">
        <f>H1223+I1223+J1223</f>
        <v/>
      </c>
      <c r="L1223" s="19">
        <f>K1223-G1223</f>
        <v/>
      </c>
      <c r="M1223" s="20">
        <f>L1223*E1223</f>
        <v/>
      </c>
      <c r="N1223" s="20" t="n">
        <v>50</v>
      </c>
      <c r="O1223" s="20" t="n"/>
      <c r="P1223" s="20">
        <f>O1223-N1223</f>
        <v/>
      </c>
      <c r="Q1223" s="20">
        <f>P1223*E1223</f>
        <v/>
      </c>
      <c r="R1223" s="20" t="n"/>
    </row>
    <row r="1224" ht="20" customHeight="1" s="1">
      <c r="A1224" s="21" t="inlineStr">
        <is>
          <t>20190</t>
        </is>
      </c>
      <c r="B1224" s="22" t="inlineStr">
        <is>
          <t>KALINA</t>
        </is>
      </c>
      <c r="C1224" s="21" t="inlineStr">
        <is>
          <t>8720633005495</t>
        </is>
      </c>
      <c r="D1224" s="22" t="inlineStr">
        <is>
          <t>Samp C/L Otvar celebnix trav 2v1 d/vol 500 ml</t>
        </is>
      </c>
      <c r="E1224" s="23" t="n">
        <v>4.9</v>
      </c>
      <c r="F1224" s="23" t="n">
        <v>6</v>
      </c>
      <c r="G1224" s="23" t="n">
        <v>78</v>
      </c>
      <c r="H1224" s="23" t="n"/>
      <c r="I1224" s="23" t="n"/>
      <c r="J1224" s="23" t="n"/>
      <c r="K1224" s="19">
        <f>H1224+I1224+J1224</f>
        <v/>
      </c>
      <c r="L1224" s="19">
        <f>K1224-G1224</f>
        <v/>
      </c>
      <c r="M1224" s="20">
        <f>L1224*E1224</f>
        <v/>
      </c>
      <c r="N1224" s="20" t="n">
        <v>50</v>
      </c>
      <c r="O1224" s="20" t="n"/>
      <c r="P1224" s="20">
        <f>O1224-N1224</f>
        <v/>
      </c>
      <c r="Q1224" s="20">
        <f>P1224*E1224</f>
        <v/>
      </c>
      <c r="R1224" s="20" t="n"/>
    </row>
    <row r="1225" ht="20" customHeight="1" s="1">
      <c r="A1225" s="16" t="inlineStr">
        <is>
          <t>20191</t>
        </is>
      </c>
      <c r="B1225" s="17" t="inlineStr">
        <is>
          <t>KALINA</t>
        </is>
      </c>
      <c r="C1225" s="16" t="inlineStr">
        <is>
          <t>8720633005532</t>
        </is>
      </c>
      <c r="D1225" s="17" t="inlineStr">
        <is>
          <t>Samp C/L Ukreplyayusiy s krapivoy d/vol 500ml</t>
        </is>
      </c>
      <c r="E1225" s="18" t="n">
        <v>4.9</v>
      </c>
      <c r="F1225" s="18" t="n">
        <v>6</v>
      </c>
      <c r="G1225" s="18" t="n">
        <v>73</v>
      </c>
      <c r="H1225" s="18" t="n"/>
      <c r="I1225" s="18" t="n"/>
      <c r="J1225" s="18" t="n"/>
      <c r="K1225" s="19">
        <f>H1225+I1225+J1225</f>
        <v/>
      </c>
      <c r="L1225" s="19">
        <f>K1225-G1225</f>
        <v/>
      </c>
      <c r="M1225" s="20">
        <f>L1225*E1225</f>
        <v/>
      </c>
      <c r="N1225" s="20" t="n">
        <v>50</v>
      </c>
      <c r="O1225" s="20" t="n"/>
      <c r="P1225" s="20">
        <f>O1225-N1225</f>
        <v/>
      </c>
      <c r="Q1225" s="20">
        <f>P1225*E1225</f>
        <v/>
      </c>
      <c r="R1225" s="20" t="n"/>
    </row>
    <row r="1226" ht="20" customHeight="1" s="1">
      <c r="A1226" s="21" t="inlineStr">
        <is>
          <t>20192</t>
        </is>
      </c>
      <c r="B1226" s="22" t="inlineStr">
        <is>
          <t>KALINA</t>
        </is>
      </c>
      <c r="C1226" s="21" t="inlineStr">
        <is>
          <t>8720633007789</t>
        </is>
      </c>
      <c r="D1226" s="22" t="inlineStr">
        <is>
          <t>Samp C/L Detskiy samp-qel d/kupaniya d/vol 520ml</t>
        </is>
      </c>
      <c r="E1226" s="23" t="n">
        <v>6.4</v>
      </c>
      <c r="F1226" s="23" t="n">
        <v>6</v>
      </c>
      <c r="G1226" s="23" t="n">
        <v>22</v>
      </c>
      <c r="H1226" s="23" t="n"/>
      <c r="I1226" s="23" t="n"/>
      <c r="J1226" s="23" t="n"/>
      <c r="K1226" s="19">
        <f>H1226+I1226+J1226</f>
        <v/>
      </c>
      <c r="L1226" s="19">
        <f>K1226-G1226</f>
        <v/>
      </c>
      <c r="M1226" s="20">
        <f>L1226*E1226</f>
        <v/>
      </c>
      <c r="N1226" s="20" t="n">
        <v>50</v>
      </c>
      <c r="O1226" s="20" t="n"/>
      <c r="P1226" s="20">
        <f>O1226-N1226</f>
        <v/>
      </c>
      <c r="Q1226" s="20">
        <f>P1226*E1226</f>
        <v/>
      </c>
      <c r="R1226" s="20" t="n"/>
    </row>
    <row r="1227" ht="20" customHeight="1" s="1">
      <c r="A1227" s="16" t="inlineStr">
        <is>
          <t>20110</t>
        </is>
      </c>
      <c r="B1227" s="17" t="inlineStr">
        <is>
          <t>KALINA</t>
        </is>
      </c>
      <c r="C1227" s="16" t="inlineStr">
        <is>
          <t>8714100922965</t>
        </is>
      </c>
      <c r="D1227" s="17" t="inlineStr">
        <is>
          <t>Balzam C/L Obem i Sila 380ml</t>
        </is>
      </c>
      <c r="E1227" s="18" t="n">
        <v>4.9</v>
      </c>
      <c r="F1227" s="18" t="n">
        <v>12</v>
      </c>
      <c r="G1227" s="18" t="n">
        <v>45</v>
      </c>
      <c r="H1227" s="18" t="n"/>
      <c r="I1227" s="18" t="n"/>
      <c r="J1227" s="18" t="n"/>
      <c r="K1227" s="19">
        <f>H1227+I1227+J1227</f>
        <v/>
      </c>
      <c r="L1227" s="19">
        <f>K1227-G1227</f>
        <v/>
      </c>
      <c r="M1227" s="20">
        <f>L1227*E1227</f>
        <v/>
      </c>
      <c r="N1227" s="20" t="n">
        <v>50</v>
      </c>
      <c r="O1227" s="20" t="n"/>
      <c r="P1227" s="20">
        <f>O1227-N1227</f>
        <v/>
      </c>
      <c r="Q1227" s="20">
        <f>P1227*E1227</f>
        <v/>
      </c>
      <c r="R1227" s="20" t="n"/>
    </row>
    <row r="1228" ht="20" customHeight="1" s="1">
      <c r="A1228" s="21" t="inlineStr">
        <is>
          <t>20111</t>
        </is>
      </c>
      <c r="B1228" s="22" t="inlineStr">
        <is>
          <t>KALINA</t>
        </is>
      </c>
      <c r="C1228" s="21" t="inlineStr">
        <is>
          <t>8714100922941</t>
        </is>
      </c>
      <c r="D1228" s="22" t="inlineStr">
        <is>
          <t>Balzam C/L Micellyarniy d/vsx tip vol 380ml</t>
        </is>
      </c>
      <c r="E1228" s="23" t="n">
        <v>4.9</v>
      </c>
      <c r="F1228" s="23" t="n">
        <v>12</v>
      </c>
      <c r="G1228" s="23" t="n">
        <v>60</v>
      </c>
      <c r="H1228" s="23" t="n"/>
      <c r="I1228" s="23" t="n"/>
      <c r="J1228" s="23" t="n"/>
      <c r="K1228" s="19">
        <f>H1228+I1228+J1228</f>
        <v/>
      </c>
      <c r="L1228" s="19">
        <f>K1228-G1228</f>
        <v/>
      </c>
      <c r="M1228" s="20">
        <f>L1228*E1228</f>
        <v/>
      </c>
      <c r="N1228" s="20" t="n">
        <v>50</v>
      </c>
      <c r="O1228" s="20" t="n"/>
      <c r="P1228" s="20">
        <f>O1228-N1228</f>
        <v/>
      </c>
      <c r="Q1228" s="20">
        <f>P1228*E1228</f>
        <v/>
      </c>
      <c r="R1228" s="20" t="n"/>
    </row>
    <row r="1229" ht="20" customHeight="1" s="1">
      <c r="A1229" s="16" t="inlineStr">
        <is>
          <t>20112</t>
        </is>
      </c>
      <c r="B1229" s="17" t="inlineStr">
        <is>
          <t>KALINA</t>
        </is>
      </c>
      <c r="C1229" s="16" t="inlineStr">
        <is>
          <t>8714100718285</t>
        </is>
      </c>
      <c r="D1229" s="17" t="inlineStr">
        <is>
          <t>Balzam C/L Krapiva d/volos 380ml</t>
        </is>
      </c>
      <c r="E1229" s="18" t="n">
        <v>4.9</v>
      </c>
      <c r="F1229" s="18" t="n">
        <v>12</v>
      </c>
      <c r="G1229" s="18" t="n">
        <v>30</v>
      </c>
      <c r="H1229" s="18" t="n"/>
      <c r="I1229" s="18" t="n"/>
      <c r="J1229" s="18" t="n"/>
      <c r="K1229" s="19">
        <f>H1229+I1229+J1229</f>
        <v/>
      </c>
      <c r="L1229" s="19">
        <f>K1229-G1229</f>
        <v/>
      </c>
      <c r="M1229" s="20">
        <f>L1229*E1229</f>
        <v/>
      </c>
      <c r="N1229" s="20" t="n">
        <v>50</v>
      </c>
      <c r="O1229" s="20" t="n"/>
      <c r="P1229" s="20">
        <f>O1229-N1229</f>
        <v/>
      </c>
      <c r="Q1229" s="20">
        <f>P1229*E1229</f>
        <v/>
      </c>
      <c r="R1229" s="20" t="n"/>
    </row>
    <row r="1230" ht="20" customHeight="1" s="1">
      <c r="A1230" s="21" t="inlineStr">
        <is>
          <t>20113</t>
        </is>
      </c>
      <c r="B1230" s="22" t="inlineStr">
        <is>
          <t>KALINA</t>
        </is>
      </c>
      <c r="C1230" s="21" t="inlineStr">
        <is>
          <t>8720633003439</t>
        </is>
      </c>
      <c r="D1230" s="22" t="inlineStr">
        <is>
          <t>Balzam C/L Ramaska d/volos 380ml</t>
        </is>
      </c>
      <c r="E1230" s="23" t="n">
        <v>4.9</v>
      </c>
      <c r="F1230" s="23" t="n">
        <v>12</v>
      </c>
      <c r="G1230" s="23" t="n">
        <v>32</v>
      </c>
      <c r="H1230" s="23" t="n"/>
      <c r="I1230" s="23" t="n"/>
      <c r="J1230" s="23" t="n"/>
      <c r="K1230" s="19">
        <f>H1230+I1230+J1230</f>
        <v/>
      </c>
      <c r="L1230" s="19">
        <f>K1230-G1230</f>
        <v/>
      </c>
      <c r="M1230" s="20">
        <f>L1230*E1230</f>
        <v/>
      </c>
      <c r="N1230" s="20" t="n">
        <v>50</v>
      </c>
      <c r="O1230" s="20" t="n"/>
      <c r="P1230" s="20">
        <f>O1230-N1230</f>
        <v/>
      </c>
      <c r="Q1230" s="20">
        <f>P1230*E1230</f>
        <v/>
      </c>
      <c r="R1230" s="20" t="n"/>
    </row>
    <row r="1231" ht="20" customHeight="1" s="1">
      <c r="A1231" s="16" t="inlineStr">
        <is>
          <t>20114</t>
        </is>
      </c>
      <c r="B1231" s="17" t="inlineStr">
        <is>
          <t>KALINA</t>
        </is>
      </c>
      <c r="C1231" s="16" t="inlineStr">
        <is>
          <t>8720633003484</t>
        </is>
      </c>
      <c r="D1231" s="17" t="inlineStr">
        <is>
          <t>Balzam C/L Selkovistiy blesk klever 380ml</t>
        </is>
      </c>
      <c r="E1231" s="18" t="n">
        <v>4.9</v>
      </c>
      <c r="F1231" s="18" t="n">
        <v>12</v>
      </c>
      <c r="G1231" s="18" t="n">
        <v>43</v>
      </c>
      <c r="H1231" s="18" t="n"/>
      <c r="I1231" s="18" t="n"/>
      <c r="J1231" s="18" t="n"/>
      <c r="K1231" s="19">
        <f>H1231+I1231+J1231</f>
        <v/>
      </c>
      <c r="L1231" s="19">
        <f>K1231-G1231</f>
        <v/>
      </c>
      <c r="M1231" s="20">
        <f>L1231*E1231</f>
        <v/>
      </c>
      <c r="N1231" s="20" t="n">
        <v>50</v>
      </c>
      <c r="O1231" s="20" t="n"/>
      <c r="P1231" s="20">
        <f>O1231-N1231</f>
        <v/>
      </c>
      <c r="Q1231" s="20">
        <f>P1231*E1231</f>
        <v/>
      </c>
      <c r="R1231" s="20" t="n"/>
    </row>
    <row r="1232" ht="20" customHeight="1" s="1">
      <c r="A1232" s="21" t="inlineStr">
        <is>
          <t>20107</t>
        </is>
      </c>
      <c r="B1232" s="22" t="inlineStr">
        <is>
          <t>KALINA</t>
        </is>
      </c>
      <c r="C1232" s="21" t="inlineStr">
        <is>
          <t>8714100711903</t>
        </is>
      </c>
      <c r="D1232" s="22" t="inlineStr">
        <is>
          <t>Balzam C/L Krapiva Ukreplyayusiy 230ml</t>
        </is>
      </c>
      <c r="E1232" s="23" t="n">
        <v>3.65</v>
      </c>
      <c r="F1232" s="23" t="n">
        <v>12</v>
      </c>
      <c r="G1232" s="23" t="n">
        <v>41</v>
      </c>
      <c r="H1232" s="23" t="n"/>
      <c r="I1232" s="23" t="n"/>
      <c r="J1232" s="23" t="n"/>
      <c r="K1232" s="19">
        <f>H1232+I1232+J1232</f>
        <v/>
      </c>
      <c r="L1232" s="19">
        <f>K1232-G1232</f>
        <v/>
      </c>
      <c r="M1232" s="20">
        <f>L1232*E1232</f>
        <v/>
      </c>
      <c r="N1232" s="20" t="n">
        <v>50</v>
      </c>
      <c r="O1232" s="20" t="n"/>
      <c r="P1232" s="20">
        <f>O1232-N1232</f>
        <v/>
      </c>
      <c r="Q1232" s="20">
        <f>P1232*E1232</f>
        <v/>
      </c>
      <c r="R1232" s="20" t="n"/>
    </row>
    <row r="1233" ht="20" customHeight="1" s="1">
      <c r="A1233" s="16" t="inlineStr">
        <is>
          <t>20108</t>
        </is>
      </c>
      <c r="B1233" s="17" t="inlineStr">
        <is>
          <t>KALINA</t>
        </is>
      </c>
      <c r="C1233" s="16" t="inlineStr">
        <is>
          <t>8714100711965</t>
        </is>
      </c>
      <c r="D1233" s="17" t="inlineStr">
        <is>
          <t>Balzam C/L Pisenica Obiem i Sila 230ml</t>
        </is>
      </c>
      <c r="E1233" s="18" t="n">
        <v>3.65</v>
      </c>
      <c r="F1233" s="18" t="n">
        <v>12</v>
      </c>
      <c r="G1233" s="18" t="n">
        <v>23</v>
      </c>
      <c r="H1233" s="18" t="n"/>
      <c r="I1233" s="18" t="n"/>
      <c r="J1233" s="18" t="n"/>
      <c r="K1233" s="19">
        <f>H1233+I1233+J1233</f>
        <v/>
      </c>
      <c r="L1233" s="19">
        <f>K1233-G1233</f>
        <v/>
      </c>
      <c r="M1233" s="20">
        <f>L1233*E1233</f>
        <v/>
      </c>
      <c r="N1233" s="20" t="n">
        <v>50</v>
      </c>
      <c r="O1233" s="20" t="n"/>
      <c r="P1233" s="20">
        <f>O1233-N1233</f>
        <v/>
      </c>
      <c r="Q1233" s="20">
        <f>P1233*E1233</f>
        <v/>
      </c>
      <c r="R1233" s="20" t="n"/>
    </row>
    <row r="1234" ht="20" customHeight="1" s="1">
      <c r="A1234" s="21" t="inlineStr">
        <is>
          <t>20109</t>
        </is>
      </c>
      <c r="B1234" s="22" t="inlineStr">
        <is>
          <t>KALINA</t>
        </is>
      </c>
      <c r="C1234" s="21" t="inlineStr">
        <is>
          <t>8714100711880</t>
        </is>
      </c>
      <c r="D1234" s="22" t="inlineStr">
        <is>
          <t>Balzam C/L Klever selk Blesk 230 ml</t>
        </is>
      </c>
      <c r="E1234" s="23" t="n">
        <v>3.65</v>
      </c>
      <c r="F1234" s="23" t="n">
        <v>12</v>
      </c>
      <c r="G1234" s="23" t="n">
        <v>9</v>
      </c>
      <c r="H1234" s="23" t="n"/>
      <c r="I1234" s="23" t="n"/>
      <c r="J1234" s="23" t="n"/>
      <c r="K1234" s="19">
        <f>H1234+I1234+J1234</f>
        <v/>
      </c>
      <c r="L1234" s="19">
        <f>K1234-G1234</f>
        <v/>
      </c>
      <c r="M1234" s="20">
        <f>L1234*E1234</f>
        <v/>
      </c>
      <c r="N1234" s="20" t="n">
        <v>50</v>
      </c>
      <c r="O1234" s="20" t="n"/>
      <c r="P1234" s="20">
        <f>O1234-N1234</f>
        <v/>
      </c>
      <c r="Q1234" s="20">
        <f>P1234*E1234</f>
        <v/>
      </c>
      <c r="R1234" s="20" t="n"/>
    </row>
    <row r="1235" ht="20" customHeight="1" s="1">
      <c r="A1235" s="16" t="inlineStr">
        <is>
          <t>20833</t>
        </is>
      </c>
      <c r="B1235" s="17" t="inlineStr">
        <is>
          <t>KALINA</t>
        </is>
      </c>
      <c r="C1235" s="16" t="inlineStr">
        <is>
          <t>8714100920688</t>
        </is>
      </c>
      <c r="D1235" s="17" t="inlineStr">
        <is>
          <t>Myaqkoe kr-milo C/L dlya vsey semia 500ml</t>
        </is>
      </c>
      <c r="E1235" s="18" t="n">
        <v>4.2</v>
      </c>
      <c r="F1235" s="18" t="n">
        <v>12</v>
      </c>
      <c r="G1235" s="18" t="n">
        <v>6</v>
      </c>
      <c r="H1235" s="18" t="n"/>
      <c r="I1235" s="18" t="n"/>
      <c r="J1235" s="18" t="n"/>
      <c r="K1235" s="19" t="n"/>
      <c r="L1235" s="19" t="n"/>
      <c r="M1235" s="20" t="n"/>
      <c r="N1235" s="20" t="n">
        <v>50</v>
      </c>
      <c r="O1235" s="20" t="n"/>
      <c r="P1235" s="20">
        <f>O1235-N1235</f>
        <v/>
      </c>
      <c r="Q1235" s="20">
        <f>P1235*E1235</f>
        <v/>
      </c>
      <c r="R1235" s="20" t="n"/>
    </row>
    <row r="1236" ht="20" customHeight="1" s="1">
      <c r="A1236" s="21" t="inlineStr">
        <is>
          <t>21117</t>
        </is>
      </c>
      <c r="B1236" s="22" t="inlineStr">
        <is>
          <t>KALINA</t>
        </is>
      </c>
      <c r="C1236" s="21" t="inlineStr">
        <is>
          <t>4600702094008</t>
        </is>
      </c>
      <c r="D1236" s="22" t="inlineStr">
        <is>
          <t>Myaqkoe kr-milo C/L berezov d/vsey semia 520ml</t>
        </is>
      </c>
      <c r="E1236" s="23" t="n">
        <v>5.3</v>
      </c>
      <c r="F1236" s="23" t="n">
        <v>6</v>
      </c>
      <c r="G1236" s="23" t="n">
        <v>23</v>
      </c>
      <c r="H1236" s="23" t="n"/>
      <c r="I1236" s="23" t="n"/>
      <c r="J1236" s="23" t="n"/>
      <c r="K1236" s="19">
        <f>H1236+I1236+J1236</f>
        <v/>
      </c>
      <c r="L1236" s="19">
        <f>K1236-G1236</f>
        <v/>
      </c>
      <c r="M1236" s="20">
        <f>L1236*E1236</f>
        <v/>
      </c>
      <c r="N1236" s="20" t="n">
        <v>50</v>
      </c>
      <c r="O1236" s="20" t="n"/>
      <c r="P1236" s="20">
        <f>O1236-N1236</f>
        <v/>
      </c>
      <c r="Q1236" s="20">
        <f>P1236*E1236</f>
        <v/>
      </c>
      <c r="R1236" s="20" t="n"/>
    </row>
    <row r="1237" ht="20" customHeight="1" s="1">
      <c r="A1237" s="16" t="inlineStr">
        <is>
          <t>21116</t>
        </is>
      </c>
      <c r="B1237" s="17" t="inlineStr">
        <is>
          <t>KALINA</t>
        </is>
      </c>
      <c r="C1237" s="16" t="inlineStr">
        <is>
          <t>4600702065725</t>
        </is>
      </c>
      <c r="D1237" s="17" t="inlineStr">
        <is>
          <t>Myaqkoe kr-milo C/L dvaynoe uvlaj 250 ml</t>
        </is>
      </c>
      <c r="E1237" s="18" t="n">
        <v>3.5</v>
      </c>
      <c r="F1237" s="18" t="n">
        <v>10</v>
      </c>
      <c r="G1237" s="18" t="n">
        <v>1</v>
      </c>
      <c r="H1237" s="18" t="n"/>
      <c r="I1237" s="18" t="n"/>
      <c r="J1237" s="18" t="n"/>
      <c r="K1237" s="19" t="n"/>
      <c r="L1237" s="19" t="n"/>
      <c r="M1237" s="20" t="n"/>
      <c r="N1237" s="20" t="n">
        <v>50</v>
      </c>
      <c r="O1237" s="20" t="n"/>
      <c r="P1237" s="20">
        <f>O1237-N1237</f>
        <v/>
      </c>
      <c r="Q1237" s="20">
        <f>P1237*E1237</f>
        <v/>
      </c>
      <c r="R1237" s="20" t="n"/>
    </row>
    <row r="1238" ht="20" customHeight="1" s="1">
      <c r="A1238" s="21" t="inlineStr">
        <is>
          <t>20160</t>
        </is>
      </c>
      <c r="B1238" s="22" t="inlineStr">
        <is>
          <t>KALINA</t>
        </is>
      </c>
      <c r="C1238" s="21" t="inlineStr">
        <is>
          <t>8714100707913</t>
        </is>
      </c>
      <c r="D1238" s="22" t="inlineStr">
        <is>
          <t>Micellyarnaya voda 3v1 C/L 400ml</t>
        </is>
      </c>
      <c r="E1238" s="23" t="n">
        <v>8.5</v>
      </c>
      <c r="F1238" s="23" t="n">
        <v>10</v>
      </c>
      <c r="G1238" s="23" t="n">
        <v>33</v>
      </c>
      <c r="H1238" s="23" t="n"/>
      <c r="I1238" s="23" t="n"/>
      <c r="J1238" s="23" t="n"/>
      <c r="K1238" s="19">
        <f>H1238+I1238+J1238</f>
        <v/>
      </c>
      <c r="L1238" s="19">
        <f>K1238-G1238</f>
        <v/>
      </c>
      <c r="M1238" s="20">
        <f>L1238*E1238</f>
        <v/>
      </c>
      <c r="N1238" s="20" t="n">
        <v>50</v>
      </c>
      <c r="O1238" s="20" t="n"/>
      <c r="P1238" s="20">
        <f>O1238-N1238</f>
        <v/>
      </c>
      <c r="Q1238" s="20">
        <f>P1238*E1238</f>
        <v/>
      </c>
      <c r="R1238" s="20" t="n"/>
    </row>
    <row r="1239" ht="20" customHeight="1" s="1">
      <c r="A1239" s="16" t="inlineStr">
        <is>
          <t>20161</t>
        </is>
      </c>
      <c r="B1239" s="17" t="inlineStr">
        <is>
          <t>KALINA</t>
        </is>
      </c>
      <c r="C1239" s="16" t="inlineStr">
        <is>
          <t>8720633006829</t>
        </is>
      </c>
      <c r="D1239" s="17" t="inlineStr">
        <is>
          <t>Micellyar voda 3v1 C/L Sredstvo 400ml</t>
        </is>
      </c>
      <c r="E1239" s="18" t="n">
        <v>6</v>
      </c>
      <c r="F1239" s="18" t="n">
        <v>6</v>
      </c>
      <c r="G1239" s="18" t="n">
        <v>12</v>
      </c>
      <c r="H1239" s="18" t="n"/>
      <c r="I1239" s="18" t="n"/>
      <c r="J1239" s="18" t="n"/>
      <c r="K1239" s="19">
        <f>H1239+I1239+J1239</f>
        <v/>
      </c>
      <c r="L1239" s="19">
        <f>K1239-G1239</f>
        <v/>
      </c>
      <c r="M1239" s="20">
        <f>L1239*E1239</f>
        <v/>
      </c>
      <c r="N1239" s="20" t="n">
        <v>50</v>
      </c>
      <c r="O1239" s="20" t="n"/>
      <c r="P1239" s="20">
        <f>O1239-N1239</f>
        <v/>
      </c>
      <c r="Q1239" s="20">
        <f>P1239*E1239</f>
        <v/>
      </c>
      <c r="R1239" s="20" t="n"/>
    </row>
    <row r="1240" ht="20" customHeight="1" s="1">
      <c r="A1240" s="21" t="inlineStr">
        <is>
          <t>20162</t>
        </is>
      </c>
      <c r="B1240" s="22" t="inlineStr">
        <is>
          <t>KALINA</t>
        </is>
      </c>
      <c r="C1240" s="21" t="inlineStr">
        <is>
          <t>8714100919880</t>
        </is>
      </c>
      <c r="D1240" s="22" t="inlineStr">
        <is>
          <t>Micellyar voda C/L Idealnaya koj 400ml</t>
        </is>
      </c>
      <c r="E1240" s="23" t="n">
        <v>8.5</v>
      </c>
      <c r="F1240" s="23" t="n">
        <v>10</v>
      </c>
      <c r="G1240" s="23" t="n">
        <v>25</v>
      </c>
      <c r="H1240" s="23" t="n"/>
      <c r="I1240" s="23" t="n"/>
      <c r="J1240" s="23" t="n"/>
      <c r="K1240" s="19">
        <f>H1240+I1240+J1240</f>
        <v/>
      </c>
      <c r="L1240" s="19">
        <f>K1240-G1240</f>
        <v/>
      </c>
      <c r="M1240" s="20">
        <f>L1240*E1240</f>
        <v/>
      </c>
      <c r="N1240" s="20" t="n">
        <v>50</v>
      </c>
      <c r="O1240" s="20" t="n"/>
      <c r="P1240" s="20">
        <f>O1240-N1240</f>
        <v/>
      </c>
      <c r="Q1240" s="20">
        <f>P1240*E1240</f>
        <v/>
      </c>
      <c r="R1240" s="20" t="n"/>
    </row>
    <row r="1241" ht="20" customHeight="1" s="1">
      <c r="A1241" s="16" t="inlineStr">
        <is>
          <t>20163</t>
        </is>
      </c>
      <c r="B1241" s="17" t="inlineStr">
        <is>
          <t>KALINA</t>
        </is>
      </c>
      <c r="C1241" s="16" t="inlineStr">
        <is>
          <t>8714100879771</t>
        </is>
      </c>
      <c r="D1241" s="17" t="inlineStr">
        <is>
          <t>Micellyarnoe sredstvo C/L d/vsex tipov koj 400ml</t>
        </is>
      </c>
      <c r="E1241" s="18" t="n">
        <v>8.5</v>
      </c>
      <c r="F1241" s="18" t="n">
        <v>10</v>
      </c>
      <c r="G1241" s="18" t="n">
        <v>47</v>
      </c>
      <c r="H1241" s="18" t="n"/>
      <c r="I1241" s="18" t="n"/>
      <c r="J1241" s="18" t="n"/>
      <c r="K1241" s="19">
        <f>H1241+I1241+J1241</f>
        <v/>
      </c>
      <c r="L1241" s="19">
        <f>K1241-G1241</f>
        <v/>
      </c>
      <c r="M1241" s="20">
        <f>L1241*E1241</f>
        <v/>
      </c>
      <c r="N1241" s="20" t="n">
        <v>50</v>
      </c>
      <c r="O1241" s="20" t="n"/>
      <c r="P1241" s="20">
        <f>O1241-N1241</f>
        <v/>
      </c>
      <c r="Q1241" s="20">
        <f>P1241*E1241</f>
        <v/>
      </c>
      <c r="R1241" s="20" t="n"/>
    </row>
    <row r="1242" ht="20" customHeight="1" s="1">
      <c r="A1242" s="21" t="inlineStr">
        <is>
          <t>20166</t>
        </is>
      </c>
      <c r="B1242" s="22" t="inlineStr">
        <is>
          <t>KALINA</t>
        </is>
      </c>
      <c r="C1242" s="21" t="inlineStr">
        <is>
          <t>8714100806401</t>
        </is>
      </c>
      <c r="D1242" s="22" t="inlineStr">
        <is>
          <t>Penka d/umiv C/L Vulkaniceskaya 150ml</t>
        </is>
      </c>
      <c r="E1242" s="23" t="n">
        <v>6.2</v>
      </c>
      <c r="F1242" s="23" t="n">
        <v>12</v>
      </c>
      <c r="G1242" s="23" t="n">
        <v>30</v>
      </c>
      <c r="H1242" s="23" t="n"/>
      <c r="I1242" s="23" t="n"/>
      <c r="J1242" s="23" t="n"/>
      <c r="K1242" s="19">
        <f>H1242+I1242+J1242</f>
        <v/>
      </c>
      <c r="L1242" s="19">
        <f>K1242-G1242</f>
        <v/>
      </c>
      <c r="M1242" s="20">
        <f>L1242*E1242</f>
        <v/>
      </c>
      <c r="N1242" s="20" t="n">
        <v>50</v>
      </c>
      <c r="O1242" s="20" t="n"/>
      <c r="P1242" s="20">
        <f>O1242-N1242</f>
        <v/>
      </c>
      <c r="Q1242" s="20">
        <f>P1242*E1242</f>
        <v/>
      </c>
      <c r="R1242" s="20" t="n"/>
    </row>
    <row r="1243" ht="20" customHeight="1" s="1">
      <c r="A1243" s="16" t="inlineStr">
        <is>
          <t>20158</t>
        </is>
      </c>
      <c r="B1243" s="17" t="inlineStr">
        <is>
          <t>KALINA</t>
        </is>
      </c>
      <c r="C1243" s="16" t="inlineStr">
        <is>
          <t>4605922317241</t>
        </is>
      </c>
      <c r="D1243" s="17" t="inlineStr">
        <is>
          <t>Micellyarnaya voda 3v1 C/L 100ml</t>
        </is>
      </c>
      <c r="E1243" s="18" t="n">
        <v>4.1</v>
      </c>
      <c r="F1243" s="18" t="n">
        <v>20</v>
      </c>
      <c r="G1243" s="18" t="n">
        <v>49</v>
      </c>
      <c r="H1243" s="18" t="n"/>
      <c r="I1243" s="18" t="n"/>
      <c r="J1243" s="18" t="n"/>
      <c r="K1243" s="19">
        <f>H1243+I1243+J1243</f>
        <v/>
      </c>
      <c r="L1243" s="19">
        <f>K1243-G1243</f>
        <v/>
      </c>
      <c r="M1243" s="20">
        <f>L1243*E1243</f>
        <v/>
      </c>
      <c r="N1243" s="20" t="n">
        <v>50</v>
      </c>
      <c r="O1243" s="20" t="n"/>
      <c r="P1243" s="20">
        <f>O1243-N1243</f>
        <v/>
      </c>
      <c r="Q1243" s="20">
        <f>P1243*E1243</f>
        <v/>
      </c>
      <c r="R1243" s="20" t="n"/>
    </row>
    <row r="1244" ht="20" customHeight="1" s="1">
      <c r="A1244" s="21" t="inlineStr">
        <is>
          <t>20159</t>
        </is>
      </c>
      <c r="B1244" s="22" t="inlineStr">
        <is>
          <t>KALINA</t>
        </is>
      </c>
      <c r="C1244" s="21" t="inlineStr">
        <is>
          <t>4600702087079</t>
        </is>
      </c>
      <c r="D1244" s="22" t="inlineStr">
        <is>
          <t>Lason d/snyat mak s vek C/L 100ml</t>
        </is>
      </c>
      <c r="E1244" s="23" t="n">
        <v>4.1</v>
      </c>
      <c r="F1244" s="23" t="n">
        <v>20</v>
      </c>
      <c r="G1244" s="23" t="n">
        <v>63</v>
      </c>
      <c r="H1244" s="23" t="n"/>
      <c r="I1244" s="23" t="n"/>
      <c r="J1244" s="23" t="n"/>
      <c r="K1244" s="19">
        <f>H1244+I1244+J1244</f>
        <v/>
      </c>
      <c r="L1244" s="19">
        <f>K1244-G1244</f>
        <v/>
      </c>
      <c r="M1244" s="20">
        <f>L1244*E1244</f>
        <v/>
      </c>
      <c r="N1244" s="20" t="n">
        <v>50</v>
      </c>
      <c r="O1244" s="20" t="n"/>
      <c r="P1244" s="20">
        <f>O1244-N1244</f>
        <v/>
      </c>
      <c r="Q1244" s="20">
        <f>P1244*E1244</f>
        <v/>
      </c>
      <c r="R1244" s="20" t="n"/>
    </row>
    <row r="1245" ht="20" customHeight="1" s="1">
      <c r="A1245" s="16" t="inlineStr">
        <is>
          <t>20165</t>
        </is>
      </c>
      <c r="B1245" s="17" t="inlineStr">
        <is>
          <t>KALINA</t>
        </is>
      </c>
      <c r="C1245" s="16" t="inlineStr">
        <is>
          <t>4600702045000</t>
        </is>
      </c>
      <c r="D1245" s="17" t="inlineStr">
        <is>
          <t>Mol.C/L d/snyat.mak.100ml noviy</t>
        </is>
      </c>
      <c r="E1245" s="18" t="n">
        <v>4.1</v>
      </c>
      <c r="F1245" s="18" t="n">
        <v>20</v>
      </c>
      <c r="G1245" s="18" t="n">
        <v>95</v>
      </c>
      <c r="H1245" s="18" t="n"/>
      <c r="I1245" s="18" t="n"/>
      <c r="J1245" s="18" t="n"/>
      <c r="K1245" s="19">
        <f>H1245+I1245+J1245</f>
        <v/>
      </c>
      <c r="L1245" s="19">
        <f>K1245-G1245</f>
        <v/>
      </c>
      <c r="M1245" s="20">
        <f>L1245*E1245</f>
        <v/>
      </c>
      <c r="N1245" s="20" t="n">
        <v>50</v>
      </c>
      <c r="O1245" s="20" t="n"/>
      <c r="P1245" s="20">
        <f>O1245-N1245</f>
        <v/>
      </c>
      <c r="Q1245" s="20">
        <f>P1245*E1245</f>
        <v/>
      </c>
      <c r="R1245" s="20" t="n"/>
    </row>
    <row r="1246" ht="20" customHeight="1" s="1">
      <c r="A1246" s="21" t="inlineStr">
        <is>
          <t>20826</t>
        </is>
      </c>
      <c r="B1246" s="22" t="inlineStr">
        <is>
          <t>KALINA</t>
        </is>
      </c>
      <c r="C1246" s="21" t="inlineStr">
        <is>
          <t>8714100709580</t>
        </is>
      </c>
      <c r="D1246" s="22" t="inlineStr">
        <is>
          <t>Loson/tonik C/L vitaminniy 100ml</t>
        </is>
      </c>
      <c r="E1246" s="23" t="n">
        <v>4.1</v>
      </c>
      <c r="F1246" s="23" t="n">
        <v>20</v>
      </c>
      <c r="G1246" s="23" t="n">
        <v>109</v>
      </c>
      <c r="H1246" s="23" t="n"/>
      <c r="I1246" s="23" t="n"/>
      <c r="J1246" s="23" t="n"/>
      <c r="K1246" s="19">
        <f>H1246+I1246+J1246</f>
        <v/>
      </c>
      <c r="L1246" s="19">
        <f>K1246-G1246</f>
        <v/>
      </c>
      <c r="M1246" s="20">
        <f>L1246*E1246</f>
        <v/>
      </c>
      <c r="N1246" s="20" t="n">
        <v>50</v>
      </c>
      <c r="O1246" s="20" t="n"/>
      <c r="P1246" s="20">
        <f>O1246-N1246</f>
        <v/>
      </c>
      <c r="Q1246" s="20">
        <f>P1246*E1246</f>
        <v/>
      </c>
      <c r="R1246" s="20" t="n"/>
    </row>
    <row r="1247" ht="20" customHeight="1" s="1">
      <c r="A1247" s="16" t="inlineStr">
        <is>
          <t>20153</t>
        </is>
      </c>
      <c r="B1247" s="17" t="inlineStr">
        <is>
          <t>KALINA</t>
        </is>
      </c>
      <c r="C1247" s="16" t="inlineStr">
        <is>
          <t>4600702083545</t>
        </is>
      </c>
      <c r="D1247" s="17" t="inlineStr">
        <is>
          <t>Los/tonik C/L  dlya suxoy koji roza 100ml</t>
        </is>
      </c>
      <c r="E1247" s="18" t="n">
        <v>4.1</v>
      </c>
      <c r="F1247" s="18" t="n">
        <v>20</v>
      </c>
      <c r="G1247" s="18" t="n">
        <v>36</v>
      </c>
      <c r="H1247" s="18" t="n"/>
      <c r="I1247" s="18" t="n"/>
      <c r="J1247" s="18" t="n"/>
      <c r="K1247" s="19">
        <f>H1247+I1247+J1247</f>
        <v/>
      </c>
      <c r="L1247" s="19">
        <f>K1247-G1247</f>
        <v/>
      </c>
      <c r="M1247" s="20">
        <f>L1247*E1247</f>
        <v/>
      </c>
      <c r="N1247" s="20" t="n">
        <v>50</v>
      </c>
      <c r="O1247" s="20" t="n"/>
      <c r="P1247" s="20">
        <f>O1247-N1247</f>
        <v/>
      </c>
      <c r="Q1247" s="20">
        <f>P1247*E1247</f>
        <v/>
      </c>
      <c r="R1247" s="20" t="n"/>
    </row>
    <row r="1248" ht="20" customHeight="1" s="1">
      <c r="A1248" s="21" t="inlineStr">
        <is>
          <t>20154</t>
        </is>
      </c>
      <c r="B1248" s="22" t="inlineStr">
        <is>
          <t>KALINA</t>
        </is>
      </c>
      <c r="C1248" s="21" t="inlineStr">
        <is>
          <t>8720182994813</t>
        </is>
      </c>
      <c r="D1248" s="22" t="inlineStr">
        <is>
          <t>Los/tonik d/lica C/L  d/vsex tipov koji 100ml</t>
        </is>
      </c>
      <c r="E1248" s="23" t="n">
        <v>4.1</v>
      </c>
      <c r="F1248" s="23" t="n">
        <v>20</v>
      </c>
      <c r="G1248" s="23" t="n">
        <v>43</v>
      </c>
      <c r="H1248" s="23" t="n"/>
      <c r="I1248" s="23" t="n"/>
      <c r="J1248" s="23" t="n"/>
      <c r="K1248" s="19">
        <f>H1248+I1248+J1248</f>
        <v/>
      </c>
      <c r="L1248" s="19">
        <f>K1248-G1248</f>
        <v/>
      </c>
      <c r="M1248" s="20">
        <f>L1248*E1248</f>
        <v/>
      </c>
      <c r="N1248" s="20" t="n">
        <v>50</v>
      </c>
      <c r="O1248" s="20" t="n"/>
      <c r="P1248" s="20">
        <f>O1248-N1248</f>
        <v/>
      </c>
      <c r="Q1248" s="20">
        <f>P1248*E1248</f>
        <v/>
      </c>
      <c r="R1248" s="20" t="n"/>
    </row>
    <row r="1249" ht="20" customHeight="1" s="1">
      <c r="A1249" s="16" t="inlineStr">
        <is>
          <t>21593</t>
        </is>
      </c>
      <c r="B1249" s="17" t="inlineStr">
        <is>
          <t>KALINA</t>
        </is>
      </c>
      <c r="C1249" s="16" t="inlineStr">
        <is>
          <t>4600702091458</t>
        </is>
      </c>
      <c r="D1249" s="17" t="inlineStr">
        <is>
          <t>Loson C/L idealnaya koja protiv cernix tocek 100ml</t>
        </is>
      </c>
      <c r="E1249" s="18" t="n">
        <v>4.1</v>
      </c>
      <c r="F1249" s="18" t="n">
        <v>20</v>
      </c>
      <c r="G1249" s="18" t="n">
        <v>64</v>
      </c>
      <c r="H1249" s="18" t="n"/>
      <c r="I1249" s="18" t="n"/>
      <c r="J1249" s="18" t="n"/>
      <c r="K1249" s="19">
        <f>H1249+I1249+J1249</f>
        <v/>
      </c>
      <c r="L1249" s="19">
        <f>K1249-G1249</f>
        <v/>
      </c>
      <c r="M1249" s="20">
        <f>L1249*E1249</f>
        <v/>
      </c>
      <c r="N1249" s="20" t="n">
        <v>50</v>
      </c>
      <c r="O1249" s="20" t="n"/>
      <c r="P1249" s="20">
        <f>O1249-N1249</f>
        <v/>
      </c>
      <c r="Q1249" s="20">
        <f>P1249*E1249</f>
        <v/>
      </c>
      <c r="R1249" s="20" t="n"/>
    </row>
    <row r="1250" ht="20" customHeight="1" s="1">
      <c r="A1250" s="21" t="inlineStr">
        <is>
          <t>20266</t>
        </is>
      </c>
      <c r="B1250" s="22" t="inlineStr">
        <is>
          <t>KALINA</t>
        </is>
      </c>
      <c r="C1250" s="21" t="inlineStr">
        <is>
          <t>4600702045024</t>
        </is>
      </c>
      <c r="D1250" s="22" t="inlineStr">
        <is>
          <t>Penka d/umiv C/L Svejest i uvlajnenie 100ml</t>
        </is>
      </c>
      <c r="E1250" s="23" t="n">
        <v>4.1</v>
      </c>
      <c r="F1250" s="23" t="n">
        <v>20</v>
      </c>
      <c r="G1250" s="23" t="n">
        <v>166</v>
      </c>
      <c r="H1250" s="23" t="n"/>
      <c r="I1250" s="23" t="n"/>
      <c r="J1250" s="23" t="n"/>
      <c r="K1250" s="19">
        <f>H1250+I1250+J1250</f>
        <v/>
      </c>
      <c r="L1250" s="19">
        <f>K1250-G1250</f>
        <v/>
      </c>
      <c r="M1250" s="20">
        <f>L1250*E1250</f>
        <v/>
      </c>
      <c r="N1250" s="20" t="n">
        <v>50</v>
      </c>
      <c r="O1250" s="20" t="n"/>
      <c r="P1250" s="20">
        <f>O1250-N1250</f>
        <v/>
      </c>
      <c r="Q1250" s="20">
        <f>P1250*E1250</f>
        <v/>
      </c>
      <c r="R1250" s="20" t="n"/>
    </row>
    <row r="1251" ht="20" customHeight="1" s="1">
      <c r="A1251" s="16" t="inlineStr">
        <is>
          <t>20156</t>
        </is>
      </c>
      <c r="B1251" s="17" t="inlineStr">
        <is>
          <t>KALINA</t>
        </is>
      </c>
      <c r="C1251" s="16" t="inlineStr">
        <is>
          <t>4600702064889</t>
        </is>
      </c>
      <c r="D1251" s="17" t="inlineStr">
        <is>
          <t>Qel d/umivaniya C/L qulbok deyctviya 100ml</t>
        </is>
      </c>
      <c r="E1251" s="18" t="n">
        <v>4.1</v>
      </c>
      <c r="F1251" s="18" t="n">
        <v>20</v>
      </c>
      <c r="G1251" s="18" t="n">
        <v>74</v>
      </c>
      <c r="H1251" s="18" t="n"/>
      <c r="I1251" s="18" t="n"/>
      <c r="J1251" s="18" t="n"/>
      <c r="K1251" s="19">
        <f>H1251+I1251+J1251</f>
        <v/>
      </c>
      <c r="L1251" s="19">
        <f>K1251-G1251</f>
        <v/>
      </c>
      <c r="M1251" s="20">
        <f>L1251*E1251</f>
        <v/>
      </c>
      <c r="N1251" s="20" t="n">
        <v>50</v>
      </c>
      <c r="O1251" s="20" t="n"/>
      <c r="P1251" s="20">
        <f>O1251-N1251</f>
        <v/>
      </c>
      <c r="Q1251" s="20">
        <f>P1251*E1251</f>
        <v/>
      </c>
      <c r="R1251" s="20" t="n"/>
    </row>
    <row r="1252" ht="20" customHeight="1" s="1">
      <c r="A1252" s="21" t="inlineStr">
        <is>
          <t>20157</t>
        </is>
      </c>
      <c r="B1252" s="22" t="inlineStr">
        <is>
          <t>KALINA</t>
        </is>
      </c>
      <c r="C1252" s="21" t="inlineStr">
        <is>
          <t>4600702091441</t>
        </is>
      </c>
      <c r="D1252" s="22" t="inlineStr">
        <is>
          <t>Qel d/umiv C/L Ramasqa qulbok deyctviya 100ml</t>
        </is>
      </c>
      <c r="E1252" s="23" t="n">
        <v>4.1</v>
      </c>
      <c r="F1252" s="23" t="n">
        <v>20</v>
      </c>
      <c r="G1252" s="23" t="n">
        <v>99</v>
      </c>
      <c r="H1252" s="23" t="n"/>
      <c r="I1252" s="23" t="n"/>
      <c r="J1252" s="23" t="n"/>
      <c r="K1252" s="19">
        <f>H1252+I1252+J1252</f>
        <v/>
      </c>
      <c r="L1252" s="19">
        <f>K1252-G1252</f>
        <v/>
      </c>
      <c r="M1252" s="20">
        <f>L1252*E1252</f>
        <v/>
      </c>
      <c r="N1252" s="20" t="n">
        <v>50</v>
      </c>
      <c r="O1252" s="20" t="n"/>
      <c r="P1252" s="20">
        <f>O1252-N1252</f>
        <v/>
      </c>
      <c r="Q1252" s="20">
        <f>P1252*E1252</f>
        <v/>
      </c>
      <c r="R1252" s="20" t="n"/>
    </row>
    <row r="1253" ht="20" customHeight="1" s="1">
      <c r="A1253" s="16" t="inlineStr">
        <is>
          <t>20155</t>
        </is>
      </c>
      <c r="B1253" s="17" t="inlineStr">
        <is>
          <t>KALINA</t>
        </is>
      </c>
      <c r="C1253" s="16" t="inlineStr">
        <is>
          <t>8714100879979</t>
        </is>
      </c>
      <c r="D1253" s="17" t="inlineStr">
        <is>
          <t>Sredstva d/ocisen koj C/L qel-masl d/umivan 115ml</t>
        </is>
      </c>
      <c r="E1253" s="18" t="n">
        <v>6.2</v>
      </c>
      <c r="F1253" s="18" t="n">
        <v>10</v>
      </c>
      <c r="G1253" s="18" t="n">
        <v>28</v>
      </c>
      <c r="H1253" s="18" t="n"/>
      <c r="I1253" s="18" t="n"/>
      <c r="J1253" s="18" t="n"/>
      <c r="K1253" s="19">
        <f>H1253+I1253+J1253</f>
        <v/>
      </c>
      <c r="L1253" s="19">
        <f>K1253-G1253</f>
        <v/>
      </c>
      <c r="M1253" s="20">
        <f>L1253*E1253</f>
        <v/>
      </c>
      <c r="N1253" s="20" t="n">
        <v>50</v>
      </c>
      <c r="O1253" s="20" t="n"/>
      <c r="P1253" s="20">
        <f>O1253-N1253</f>
        <v/>
      </c>
      <c r="Q1253" s="20">
        <f>P1253*E1253</f>
        <v/>
      </c>
      <c r="R1253" s="20" t="n"/>
    </row>
    <row r="1254" ht="20" customHeight="1" s="1">
      <c r="A1254" s="21" t="inlineStr">
        <is>
          <t>20151</t>
        </is>
      </c>
      <c r="B1254" s="22" t="inlineStr">
        <is>
          <t>KALINA</t>
        </is>
      </c>
      <c r="C1254" s="21" t="inlineStr">
        <is>
          <t>8714100846735</t>
        </is>
      </c>
      <c r="D1254" s="22" t="inlineStr">
        <is>
          <t>Sredstva d/ocis koji C/L Micellyar qel d/umv 120ml</t>
        </is>
      </c>
      <c r="E1254" s="23" t="n">
        <v>5.8</v>
      </c>
      <c r="F1254" s="23" t="n">
        <v>8</v>
      </c>
      <c r="G1254" s="23" t="n">
        <v>1</v>
      </c>
      <c r="H1254" s="23" t="n"/>
      <c r="I1254" s="23" t="n"/>
      <c r="J1254" s="23" t="n"/>
      <c r="K1254" s="19" t="n"/>
      <c r="L1254" s="19" t="n"/>
      <c r="M1254" s="20" t="n"/>
      <c r="N1254" s="20" t="n">
        <v>50</v>
      </c>
      <c r="O1254" s="20" t="n"/>
      <c r="P1254" s="20">
        <f>O1254-N1254</f>
        <v/>
      </c>
      <c r="Q1254" s="20">
        <f>P1254*E1254</f>
        <v/>
      </c>
      <c r="R1254" s="20" t="n"/>
    </row>
    <row r="1255" ht="20" customHeight="1" s="1">
      <c r="A1255" s="16" t="inlineStr">
        <is>
          <t>20152</t>
        </is>
      </c>
      <c r="B1255" s="17" t="inlineStr">
        <is>
          <t>KALINA</t>
        </is>
      </c>
      <c r="C1255" s="16" t="inlineStr">
        <is>
          <t>8714100887042</t>
        </is>
      </c>
      <c r="D1255" s="17" t="inlineStr">
        <is>
          <t>Sredstva d/ocis koji C/L Qel-penka d/umv 160ml</t>
        </is>
      </c>
      <c r="E1255" s="18" t="n">
        <v>6.2</v>
      </c>
      <c r="F1255" s="18" t="n">
        <v>12</v>
      </c>
      <c r="G1255" s="18" t="n">
        <v>8</v>
      </c>
      <c r="H1255" s="18" t="n"/>
      <c r="I1255" s="18" t="n"/>
      <c r="J1255" s="18" t="n"/>
      <c r="K1255" s="19" t="n"/>
      <c r="L1255" s="19" t="n"/>
      <c r="M1255" s="20" t="n"/>
      <c r="N1255" s="20" t="n">
        <v>50</v>
      </c>
      <c r="O1255" s="20" t="n"/>
      <c r="P1255" s="20">
        <f>O1255-N1255</f>
        <v/>
      </c>
      <c r="Q1255" s="20">
        <f>P1255*E1255</f>
        <v/>
      </c>
      <c r="R1255" s="20" t="n"/>
    </row>
    <row r="1256" ht="20" customHeight="1" s="1">
      <c r="A1256" s="21" t="inlineStr">
        <is>
          <t>20264</t>
        </is>
      </c>
      <c r="B1256" s="22" t="inlineStr">
        <is>
          <t>KALINA</t>
        </is>
      </c>
      <c r="C1256" s="21" t="inlineStr">
        <is>
          <t>8720633005365</t>
        </is>
      </c>
      <c r="D1256" s="22" t="inlineStr">
        <is>
          <t>Sprey C/L Detskiy d/vol Leqkoe Rascesivanie 160ml</t>
        </is>
      </c>
      <c r="E1256" s="23" t="n">
        <v>4.8</v>
      </c>
      <c r="F1256" s="23" t="n">
        <v>12</v>
      </c>
      <c r="G1256" s="23" t="n">
        <v>41</v>
      </c>
      <c r="H1256" s="23" t="n"/>
      <c r="I1256" s="23" t="n"/>
      <c r="J1256" s="23" t="n"/>
      <c r="K1256" s="19">
        <f>H1256+I1256+J1256</f>
        <v/>
      </c>
      <c r="L1256" s="19">
        <f>K1256-G1256</f>
        <v/>
      </c>
      <c r="M1256" s="20">
        <f>L1256*E1256</f>
        <v/>
      </c>
      <c r="N1256" s="20" t="n">
        <v>50</v>
      </c>
      <c r="O1256" s="20" t="n"/>
      <c r="P1256" s="20">
        <f>O1256-N1256</f>
        <v/>
      </c>
      <c r="Q1256" s="20">
        <f>P1256*E1256</f>
        <v/>
      </c>
      <c r="R1256" s="20" t="n"/>
    </row>
    <row r="1257" ht="20" customHeight="1" s="1">
      <c r="A1257" s="16" t="inlineStr">
        <is>
          <t>20133</t>
        </is>
      </c>
      <c r="B1257" s="17" t="inlineStr">
        <is>
          <t>KALINA</t>
        </is>
      </c>
      <c r="C1257" s="16" t="inlineStr">
        <is>
          <t>8714100788615</t>
        </is>
      </c>
      <c r="D1257" s="17" t="inlineStr">
        <is>
          <t>Kr d/ruk C/L Universalniy d/ruk lica i tela 200ml</t>
        </is>
      </c>
      <c r="E1257" s="18" t="n">
        <v>6.9</v>
      </c>
      <c r="F1257" s="18" t="n">
        <v>8</v>
      </c>
      <c r="G1257" s="18" t="n">
        <v>44</v>
      </c>
      <c r="H1257" s="18" t="n"/>
      <c r="I1257" s="18" t="n"/>
      <c r="J1257" s="18" t="n"/>
      <c r="K1257" s="19">
        <f>H1257+I1257+J1257</f>
        <v/>
      </c>
      <c r="L1257" s="19">
        <f>K1257-G1257</f>
        <v/>
      </c>
      <c r="M1257" s="20">
        <f>L1257*E1257</f>
        <v/>
      </c>
      <c r="N1257" s="20" t="n">
        <v>50</v>
      </c>
      <c r="O1257" s="20" t="n"/>
      <c r="P1257" s="20">
        <f>O1257-N1257</f>
        <v/>
      </c>
      <c r="Q1257" s="20">
        <f>P1257*E1257</f>
        <v/>
      </c>
      <c r="R1257" s="20" t="n"/>
    </row>
    <row r="1258" ht="20" customHeight="1" s="1">
      <c r="A1258" s="21" t="inlineStr">
        <is>
          <t>22216</t>
        </is>
      </c>
      <c r="B1258" s="22" t="inlineStr">
        <is>
          <t>KALINA</t>
        </is>
      </c>
      <c r="C1258" s="21" t="inlineStr">
        <is>
          <t>4605922031062</t>
        </is>
      </c>
      <c r="D1258" s="22" t="inlineStr">
        <is>
          <t>C/L Krem-gel dlya umivaniya 200ml</t>
        </is>
      </c>
      <c r="E1258" s="23" t="n">
        <v>5.67</v>
      </c>
      <c r="F1258" s="23" t="n">
        <v>8</v>
      </c>
      <c r="G1258" s="23" t="n">
        <v>20</v>
      </c>
      <c r="H1258" s="23" t="n"/>
      <c r="I1258" s="23" t="n"/>
      <c r="J1258" s="23" t="n"/>
      <c r="K1258" s="19">
        <f>H1258+I1258+J1258</f>
        <v/>
      </c>
      <c r="L1258" s="19">
        <f>K1258-G1258</f>
        <v/>
      </c>
      <c r="M1258" s="20">
        <f>L1258*E1258</f>
        <v/>
      </c>
      <c r="N1258" s="20" t="n">
        <v>50</v>
      </c>
      <c r="O1258" s="20" t="n"/>
      <c r="P1258" s="20">
        <f>O1258-N1258</f>
        <v/>
      </c>
      <c r="Q1258" s="20">
        <f>P1258*E1258</f>
        <v/>
      </c>
      <c r="R1258" s="20" t="n"/>
    </row>
    <row r="1259" ht="20" customHeight="1" s="1">
      <c r="A1259" s="16" t="inlineStr">
        <is>
          <t>20123</t>
        </is>
      </c>
      <c r="B1259" s="17" t="inlineStr">
        <is>
          <t>KALINA</t>
        </is>
      </c>
      <c r="C1259" s="16" t="inlineStr">
        <is>
          <t>4600702088625</t>
        </is>
      </c>
      <c r="D1259" s="17" t="inlineStr">
        <is>
          <t>Kr-uxod d/ruk C/L Nejnoe pit ramaska 75ml</t>
        </is>
      </c>
      <c r="E1259" s="18" t="n">
        <v>2.9</v>
      </c>
      <c r="F1259" s="18" t="n">
        <v>20</v>
      </c>
      <c r="G1259" s="18" t="n">
        <v>155</v>
      </c>
      <c r="H1259" s="18" t="n"/>
      <c r="I1259" s="18" t="n"/>
      <c r="J1259" s="18" t="n"/>
      <c r="K1259" s="19">
        <f>H1259+I1259+J1259</f>
        <v/>
      </c>
      <c r="L1259" s="19">
        <f>K1259-G1259</f>
        <v/>
      </c>
      <c r="M1259" s="20">
        <f>L1259*E1259</f>
        <v/>
      </c>
      <c r="N1259" s="20" t="n">
        <v>50</v>
      </c>
      <c r="O1259" s="20" t="n"/>
      <c r="P1259" s="20">
        <f>O1259-N1259</f>
        <v/>
      </c>
      <c r="Q1259" s="20">
        <f>P1259*E1259</f>
        <v/>
      </c>
      <c r="R1259" s="20" t="n"/>
    </row>
    <row r="1260" ht="20" customHeight="1" s="1">
      <c r="A1260" s="21" t="inlineStr">
        <is>
          <t>20124</t>
        </is>
      </c>
      <c r="B1260" s="22" t="inlineStr">
        <is>
          <t>KALINA</t>
        </is>
      </c>
      <c r="C1260" s="21" t="inlineStr">
        <is>
          <t>4600702088632</t>
        </is>
      </c>
      <c r="D1260" s="22" t="inlineStr">
        <is>
          <t>Kr-uxod d/ruk C/L Itensiv uvlaj aloe 75ml</t>
        </is>
      </c>
      <c r="E1260" s="23" t="n">
        <v>2.9</v>
      </c>
      <c r="F1260" s="23" t="n">
        <v>20</v>
      </c>
      <c r="G1260" s="23" t="n">
        <v>63</v>
      </c>
      <c r="H1260" s="23" t="n"/>
      <c r="I1260" s="23" t="n"/>
      <c r="J1260" s="23" t="n"/>
      <c r="K1260" s="19">
        <f>H1260+I1260+J1260</f>
        <v/>
      </c>
      <c r="L1260" s="19">
        <f>K1260-G1260</f>
        <v/>
      </c>
      <c r="M1260" s="20">
        <f>L1260*E1260</f>
        <v/>
      </c>
      <c r="N1260" s="20" t="n">
        <v>50</v>
      </c>
      <c r="O1260" s="20" t="n"/>
      <c r="P1260" s="20">
        <f>O1260-N1260</f>
        <v/>
      </c>
      <c r="Q1260" s="20">
        <f>P1260*E1260</f>
        <v/>
      </c>
      <c r="R1260" s="20" t="n"/>
    </row>
    <row r="1261" ht="20" customHeight="1" s="1">
      <c r="A1261" s="16" t="inlineStr">
        <is>
          <t>20125</t>
        </is>
      </c>
      <c r="B1261" s="17" t="inlineStr">
        <is>
          <t>KALINA</t>
        </is>
      </c>
      <c r="C1261" s="16" t="inlineStr">
        <is>
          <t>4600702088649</t>
        </is>
      </c>
      <c r="D1261" s="17" t="inlineStr">
        <is>
          <t>Kr-uxod d/ruk C/L Zasita i  kalendula 75ml</t>
        </is>
      </c>
      <c r="E1261" s="18" t="n">
        <v>2.9</v>
      </c>
      <c r="F1261" s="18" t="n">
        <v>20</v>
      </c>
      <c r="G1261" s="18" t="n">
        <v>77</v>
      </c>
      <c r="H1261" s="18" t="n"/>
      <c r="I1261" s="18" t="n"/>
      <c r="J1261" s="18" t="n"/>
      <c r="K1261" s="19">
        <f>H1261+I1261+J1261</f>
        <v/>
      </c>
      <c r="L1261" s="19">
        <f>K1261-G1261</f>
        <v/>
      </c>
      <c r="M1261" s="20">
        <f>L1261*E1261</f>
        <v/>
      </c>
      <c r="N1261" s="20" t="n">
        <v>50</v>
      </c>
      <c r="O1261" s="20" t="n"/>
      <c r="P1261" s="20">
        <f>O1261-N1261</f>
        <v/>
      </c>
      <c r="Q1261" s="20">
        <f>P1261*E1261</f>
        <v/>
      </c>
      <c r="R1261" s="20" t="n"/>
    </row>
    <row r="1262" ht="20" customHeight="1" s="1">
      <c r="A1262" s="21" t="inlineStr">
        <is>
          <t>20126</t>
        </is>
      </c>
      <c r="B1262" s="22" t="inlineStr">
        <is>
          <t>KALINA</t>
        </is>
      </c>
      <c r="C1262" s="21" t="inlineStr">
        <is>
          <t>8714100788455</t>
        </is>
      </c>
      <c r="D1262" s="22" t="inlineStr">
        <is>
          <t>Kr-maslo d/ruk C/L Kompleksnoy 75ml</t>
        </is>
      </c>
      <c r="E1262" s="23" t="n">
        <v>2.9</v>
      </c>
      <c r="F1262" s="23" t="n">
        <v>20</v>
      </c>
      <c r="G1262" s="23" t="n">
        <v>170</v>
      </c>
      <c r="H1262" s="23" t="n"/>
      <c r="I1262" s="23" t="n"/>
      <c r="J1262" s="23" t="n"/>
      <c r="K1262" s="19">
        <f>H1262+I1262+J1262</f>
        <v/>
      </c>
      <c r="L1262" s="19">
        <f>K1262-G1262</f>
        <v/>
      </c>
      <c r="M1262" s="20">
        <f>L1262*E1262</f>
        <v/>
      </c>
      <c r="N1262" s="20" t="n">
        <v>50</v>
      </c>
      <c r="O1262" s="20" t="n"/>
      <c r="P1262" s="20">
        <f>O1262-N1262</f>
        <v/>
      </c>
      <c r="Q1262" s="20">
        <f>P1262*E1262</f>
        <v/>
      </c>
      <c r="R1262" s="20" t="n"/>
    </row>
    <row r="1263" ht="20" customHeight="1" s="1">
      <c r="A1263" s="16" t="inlineStr">
        <is>
          <t>20132</t>
        </is>
      </c>
      <c r="B1263" s="17" t="inlineStr">
        <is>
          <t>KALINA</t>
        </is>
      </c>
      <c r="C1263" s="16" t="inlineStr">
        <is>
          <t>4600702095296</t>
        </is>
      </c>
      <c r="D1263" s="17" t="inlineStr">
        <is>
          <t>Krem-uxod d/noq C/L intensivnoe pitanie 75 ml</t>
        </is>
      </c>
      <c r="E1263" s="18" t="n">
        <v>4</v>
      </c>
      <c r="F1263" s="18" t="n">
        <v>20</v>
      </c>
      <c r="G1263" s="18" t="n">
        <v>53</v>
      </c>
      <c r="H1263" s="18" t="n"/>
      <c r="I1263" s="18" t="n"/>
      <c r="J1263" s="18" t="n"/>
      <c r="K1263" s="19">
        <f>H1263+I1263+J1263</f>
        <v/>
      </c>
      <c r="L1263" s="19">
        <f>K1263-G1263</f>
        <v/>
      </c>
      <c r="M1263" s="20">
        <f>L1263*E1263</f>
        <v/>
      </c>
      <c r="N1263" s="20" t="n">
        <v>50</v>
      </c>
      <c r="O1263" s="20" t="n"/>
      <c r="P1263" s="20">
        <f>O1263-N1263</f>
        <v/>
      </c>
      <c r="Q1263" s="20">
        <f>P1263*E1263</f>
        <v/>
      </c>
      <c r="R1263" s="20" t="n"/>
    </row>
    <row r="1264" ht="20" customHeight="1" s="1">
      <c r="A1264" s="21" t="inlineStr">
        <is>
          <t>20127</t>
        </is>
      </c>
      <c r="B1264" s="22" t="inlineStr">
        <is>
          <t>KALINA</t>
        </is>
      </c>
      <c r="C1264" s="21" t="inlineStr">
        <is>
          <t>4600702080681</t>
        </is>
      </c>
      <c r="D1264" s="22" t="inlineStr">
        <is>
          <t>Kr.dn. C/L d/suxoy koji new 40 ml</t>
        </is>
      </c>
      <c r="E1264" s="23" t="n">
        <v>3</v>
      </c>
      <c r="F1264" s="23" t="n">
        <v>32</v>
      </c>
      <c r="G1264" s="23" t="n">
        <v>69</v>
      </c>
      <c r="H1264" s="23" t="n"/>
      <c r="I1264" s="23" t="n"/>
      <c r="J1264" s="23" t="n"/>
      <c r="K1264" s="19">
        <f>H1264+I1264+J1264</f>
        <v/>
      </c>
      <c r="L1264" s="19">
        <f>K1264-G1264</f>
        <v/>
      </c>
      <c r="M1264" s="20">
        <f>L1264*E1264</f>
        <v/>
      </c>
      <c r="N1264" s="20" t="n">
        <v>50</v>
      </c>
      <c r="O1264" s="20" t="n"/>
      <c r="P1264" s="20">
        <f>O1264-N1264</f>
        <v/>
      </c>
      <c r="Q1264" s="20">
        <f>P1264*E1264</f>
        <v/>
      </c>
      <c r="R1264" s="20" t="n"/>
    </row>
    <row r="1265" ht="20" customHeight="1" s="1">
      <c r="A1265" s="16" t="inlineStr">
        <is>
          <t>20128</t>
        </is>
      </c>
      <c r="B1265" s="17" t="inlineStr">
        <is>
          <t>KALINA</t>
        </is>
      </c>
      <c r="C1265" s="16" t="inlineStr">
        <is>
          <t>4600702080674</t>
        </is>
      </c>
      <c r="D1265" s="17" t="inlineStr">
        <is>
          <t>Kr.noc.C/L d/suxoy .koji  new 40 ml</t>
        </is>
      </c>
      <c r="E1265" s="18" t="n">
        <v>3</v>
      </c>
      <c r="F1265" s="18" t="n">
        <v>32</v>
      </c>
      <c r="G1265" s="18" t="n">
        <v>230</v>
      </c>
      <c r="H1265" s="18" t="n"/>
      <c r="I1265" s="18" t="n"/>
      <c r="J1265" s="18" t="n"/>
      <c r="K1265" s="19">
        <f>H1265+I1265+J1265</f>
        <v/>
      </c>
      <c r="L1265" s="19">
        <f>K1265-G1265</f>
        <v/>
      </c>
      <c r="M1265" s="20">
        <f>L1265*E1265</f>
        <v/>
      </c>
      <c r="N1265" s="20" t="n">
        <v>50</v>
      </c>
      <c r="O1265" s="20" t="n"/>
      <c r="P1265" s="20">
        <f>O1265-N1265</f>
        <v/>
      </c>
      <c r="Q1265" s="20">
        <f>P1265*E1265</f>
        <v/>
      </c>
      <c r="R1265" s="20" t="n"/>
    </row>
    <row r="1266" ht="20" customHeight="1" s="1">
      <c r="A1266" s="21" t="inlineStr">
        <is>
          <t>20129</t>
        </is>
      </c>
      <c r="B1266" s="22" t="inlineStr">
        <is>
          <t>KALINA</t>
        </is>
      </c>
      <c r="C1266" s="21" t="inlineStr">
        <is>
          <t>8720182994363</t>
        </is>
      </c>
      <c r="D1266" s="22" t="inlineStr">
        <is>
          <t>Kr d/lica C/L dnevn d/kombinirov koji uvlaj 40 ml</t>
        </is>
      </c>
      <c r="E1266" s="23" t="n">
        <v>3</v>
      </c>
      <c r="F1266" s="23" t="n">
        <v>32</v>
      </c>
      <c r="G1266" s="23" t="n">
        <v>202</v>
      </c>
      <c r="H1266" s="23" t="n"/>
      <c r="I1266" s="23" t="n"/>
      <c r="J1266" s="23" t="n"/>
      <c r="K1266" s="19">
        <f>H1266+I1266+J1266</f>
        <v/>
      </c>
      <c r="L1266" s="19">
        <f>K1266-G1266</f>
        <v/>
      </c>
      <c r="M1266" s="20">
        <f>L1266*E1266</f>
        <v/>
      </c>
      <c r="N1266" s="20" t="n">
        <v>50</v>
      </c>
      <c r="O1266" s="20" t="n"/>
      <c r="P1266" s="20">
        <f>O1266-N1266</f>
        <v/>
      </c>
      <c r="Q1266" s="20">
        <f>P1266*E1266</f>
        <v/>
      </c>
      <c r="R1266" s="20" t="n"/>
    </row>
    <row r="1267" ht="20" customHeight="1" s="1">
      <c r="A1267" s="16" t="inlineStr">
        <is>
          <t>20130</t>
        </is>
      </c>
      <c r="B1267" s="17" t="inlineStr">
        <is>
          <t>KALINA</t>
        </is>
      </c>
      <c r="C1267" s="16" t="inlineStr">
        <is>
          <t>8720182994394</t>
        </is>
      </c>
      <c r="D1267" s="17" t="inlineStr">
        <is>
          <t>Kr d/lica C/L nacnoy d/kombinirov koji pitat 40 ml</t>
        </is>
      </c>
      <c r="E1267" s="18" t="n">
        <v>3</v>
      </c>
      <c r="F1267" s="18" t="n">
        <v>32</v>
      </c>
      <c r="G1267" s="18" t="n">
        <v>76</v>
      </c>
      <c r="H1267" s="18" t="n"/>
      <c r="I1267" s="18" t="n"/>
      <c r="J1267" s="18" t="n"/>
      <c r="K1267" s="19">
        <f>H1267+I1267+J1267</f>
        <v/>
      </c>
      <c r="L1267" s="19">
        <f>K1267-G1267</f>
        <v/>
      </c>
      <c r="M1267" s="20">
        <f>L1267*E1267</f>
        <v/>
      </c>
      <c r="N1267" s="20" t="n">
        <v>50</v>
      </c>
      <c r="O1267" s="20" t="n"/>
      <c r="P1267" s="20">
        <f>O1267-N1267</f>
        <v/>
      </c>
      <c r="Q1267" s="20">
        <f>P1267*E1267</f>
        <v/>
      </c>
      <c r="R1267" s="20" t="n"/>
    </row>
    <row r="1268" ht="20" customHeight="1" s="1">
      <c r="A1268" s="21" t="inlineStr">
        <is>
          <t>20131</t>
        </is>
      </c>
      <c r="B1268" s="22" t="inlineStr">
        <is>
          <t>KALINA</t>
        </is>
      </c>
      <c r="C1268" s="21" t="inlineStr">
        <is>
          <t>8720182995155</t>
        </is>
      </c>
      <c r="D1268" s="22" t="inlineStr">
        <is>
          <t>Kr d/lica C/L qel-kr d/vsex tipov koji 40 ml</t>
        </is>
      </c>
      <c r="E1268" s="23" t="n">
        <v>3</v>
      </c>
      <c r="F1268" s="23" t="n">
        <v>32</v>
      </c>
      <c r="G1268" s="23" t="n">
        <v>77</v>
      </c>
      <c r="H1268" s="23" t="n"/>
      <c r="I1268" s="23" t="n"/>
      <c r="J1268" s="23" t="n"/>
      <c r="K1268" s="19">
        <f>H1268+I1268+J1268</f>
        <v/>
      </c>
      <c r="L1268" s="19">
        <f>K1268-G1268</f>
        <v/>
      </c>
      <c r="M1268" s="20">
        <f>L1268*E1268</f>
        <v/>
      </c>
      <c r="N1268" s="20" t="n">
        <v>50</v>
      </c>
      <c r="O1268" s="20" t="n"/>
      <c r="P1268" s="20">
        <f>O1268-N1268</f>
        <v/>
      </c>
      <c r="Q1268" s="20">
        <f>P1268*E1268</f>
        <v/>
      </c>
      <c r="R1268" s="20" t="n"/>
    </row>
    <row r="1269" ht="20" customHeight="1" s="1">
      <c r="A1269" s="16" t="inlineStr">
        <is>
          <t>22213</t>
        </is>
      </c>
      <c r="B1269" s="17" t="inlineStr">
        <is>
          <t>KALINA</t>
        </is>
      </c>
      <c r="C1269" s="16" t="inlineStr">
        <is>
          <t>4605922032205</t>
        </is>
      </c>
      <c r="D1269" s="17" t="inlineStr">
        <is>
          <t>C/L Krem dlya litsa i vek omolojenie 40ml</t>
        </is>
      </c>
      <c r="E1269" s="18" t="n">
        <v>2.75</v>
      </c>
      <c r="F1269" s="18" t="n">
        <v>32</v>
      </c>
      <c r="G1269" s="18" t="n">
        <v>29</v>
      </c>
      <c r="H1269" s="18" t="n"/>
      <c r="I1269" s="18" t="n"/>
      <c r="J1269" s="18" t="n"/>
      <c r="K1269" s="19">
        <f>H1269+I1269+J1269</f>
        <v/>
      </c>
      <c r="L1269" s="19">
        <f>K1269-G1269</f>
        <v/>
      </c>
      <c r="M1269" s="20">
        <f>L1269*E1269</f>
        <v/>
      </c>
      <c r="N1269" s="20" t="n">
        <v>50</v>
      </c>
      <c r="O1269" s="20" t="n"/>
      <c r="P1269" s="20">
        <f>O1269-N1269</f>
        <v/>
      </c>
      <c r="Q1269" s="20">
        <f>P1269*E1269</f>
        <v/>
      </c>
      <c r="R1269" s="20" t="n"/>
    </row>
    <row r="1270" ht="20" customHeight="1" s="1">
      <c r="A1270" s="21" t="inlineStr">
        <is>
          <t>21112</t>
        </is>
      </c>
      <c r="B1270" s="22" t="inlineStr">
        <is>
          <t>KALINA</t>
        </is>
      </c>
      <c r="C1270" s="21" t="inlineStr">
        <is>
          <t>4600702092332</t>
        </is>
      </c>
      <c r="D1270" s="22" t="inlineStr">
        <is>
          <t>Krem-aktiv d/lica protiv pirsey C/L 40ml</t>
        </is>
      </c>
      <c r="E1270" s="23" t="n">
        <v>4.6</v>
      </c>
      <c r="F1270" s="23" t="n">
        <v>24</v>
      </c>
      <c r="G1270" s="23" t="n">
        <v>59</v>
      </c>
      <c r="H1270" s="23" t="n"/>
      <c r="I1270" s="23" t="n"/>
      <c r="J1270" s="23" t="n"/>
      <c r="K1270" s="19">
        <f>H1270+I1270+J1270</f>
        <v/>
      </c>
      <c r="L1270" s="19">
        <f>K1270-G1270</f>
        <v/>
      </c>
      <c r="M1270" s="20">
        <f>L1270*E1270</f>
        <v/>
      </c>
      <c r="N1270" s="20" t="n">
        <v>50</v>
      </c>
      <c r="O1270" s="20" t="n"/>
      <c r="P1270" s="20">
        <f>O1270-N1270</f>
        <v/>
      </c>
      <c r="Q1270" s="20">
        <f>P1270*E1270</f>
        <v/>
      </c>
      <c r="R1270" s="20" t="n"/>
    </row>
    <row r="1271" ht="20" customHeight="1" s="1">
      <c r="A1271" s="16" t="inlineStr">
        <is>
          <t>21201</t>
        </is>
      </c>
      <c r="B1271" s="17" t="inlineStr">
        <is>
          <t>KALINA</t>
        </is>
      </c>
      <c r="C1271" s="16" t="inlineStr">
        <is>
          <t>4600702096934</t>
        </is>
      </c>
      <c r="D1271" s="17" t="inlineStr">
        <is>
          <t>BB-krem 10v1 IDEALNAYA koja C/L 40ml</t>
        </is>
      </c>
      <c r="E1271" s="18" t="n">
        <v>5.3</v>
      </c>
      <c r="F1271" s="18" t="n">
        <v>24</v>
      </c>
      <c r="G1271" s="18" t="n">
        <v>32</v>
      </c>
      <c r="H1271" s="18" t="n"/>
      <c r="I1271" s="18" t="n"/>
      <c r="J1271" s="18" t="n"/>
      <c r="K1271" s="19">
        <f>H1271+I1271+J1271</f>
        <v/>
      </c>
      <c r="L1271" s="19">
        <f>K1271-G1271</f>
        <v/>
      </c>
      <c r="M1271" s="20">
        <f>L1271*E1271</f>
        <v/>
      </c>
      <c r="N1271" s="20" t="n">
        <v>50</v>
      </c>
      <c r="O1271" s="20" t="n"/>
      <c r="P1271" s="20">
        <f>O1271-N1271</f>
        <v/>
      </c>
      <c r="Q1271" s="20">
        <f>P1271*E1271</f>
        <v/>
      </c>
      <c r="R1271" s="20" t="n"/>
    </row>
    <row r="1272" ht="20" customHeight="1" s="1">
      <c r="A1272" s="21" t="inlineStr">
        <is>
          <t>20116</t>
        </is>
      </c>
      <c r="B1272" s="22" t="inlineStr">
        <is>
          <t>KALINA</t>
        </is>
      </c>
      <c r="C1272" s="21" t="inlineStr">
        <is>
          <t>4600702091205</t>
        </is>
      </c>
      <c r="D1272" s="22" t="inlineStr">
        <is>
          <t>Dnev kr d/lica C/L tavolqa i kalina 60+ 45ml</t>
        </is>
      </c>
      <c r="E1272" s="23" t="n">
        <v>7.2</v>
      </c>
      <c r="F1272" s="23" t="n">
        <v>12</v>
      </c>
      <c r="G1272" s="23" t="n">
        <v>22</v>
      </c>
      <c r="H1272" s="23" t="n"/>
      <c r="I1272" s="23" t="n"/>
      <c r="J1272" s="23" t="n"/>
      <c r="K1272" s="19">
        <f>H1272+I1272+J1272</f>
        <v/>
      </c>
      <c r="L1272" s="19">
        <f>K1272-G1272</f>
        <v/>
      </c>
      <c r="M1272" s="20">
        <f>L1272*E1272</f>
        <v/>
      </c>
      <c r="N1272" s="20" t="n">
        <v>50</v>
      </c>
      <c r="O1272" s="20" t="n"/>
      <c r="P1272" s="20">
        <f>O1272-N1272</f>
        <v/>
      </c>
      <c r="Q1272" s="20">
        <f>P1272*E1272</f>
        <v/>
      </c>
      <c r="R1272" s="20" t="n"/>
    </row>
    <row r="1273" ht="20" customHeight="1" s="1">
      <c r="A1273" s="16" t="inlineStr">
        <is>
          <t>20119</t>
        </is>
      </c>
      <c r="B1273" s="17" t="inlineStr">
        <is>
          <t>KALINA</t>
        </is>
      </c>
      <c r="C1273" s="16" t="inlineStr">
        <is>
          <t>4600702091212</t>
        </is>
      </c>
      <c r="D1273" s="17" t="inlineStr">
        <is>
          <t>Nacn kr d/ica C/L tavolqa i kalina 60+ 45ml</t>
        </is>
      </c>
      <c r="E1273" s="18" t="n">
        <v>7.2</v>
      </c>
      <c r="F1273" s="18" t="n">
        <v>12</v>
      </c>
      <c r="G1273" s="18" t="n">
        <v>27</v>
      </c>
      <c r="H1273" s="18" t="n"/>
      <c r="I1273" s="18" t="n"/>
      <c r="J1273" s="18" t="n"/>
      <c r="K1273" s="19">
        <f>H1273+I1273+J1273</f>
        <v/>
      </c>
      <c r="L1273" s="19">
        <f>K1273-G1273</f>
        <v/>
      </c>
      <c r="M1273" s="20">
        <f>L1273*E1273</f>
        <v/>
      </c>
      <c r="N1273" s="20" t="n">
        <v>50</v>
      </c>
      <c r="O1273" s="20" t="n"/>
      <c r="P1273" s="20">
        <f>O1273-N1273</f>
        <v/>
      </c>
      <c r="Q1273" s="20">
        <f>P1273*E1273</f>
        <v/>
      </c>
      <c r="R1273" s="20" t="n"/>
    </row>
    <row r="1274" ht="20" customHeight="1" s="1">
      <c r="A1274" s="21" t="inlineStr">
        <is>
          <t>20117</t>
        </is>
      </c>
      <c r="B1274" s="22" t="inlineStr">
        <is>
          <t>KALINA</t>
        </is>
      </c>
      <c r="C1274" s="21" t="inlineStr">
        <is>
          <t>4600702092479</t>
        </is>
      </c>
      <c r="D1274" s="22" t="inlineStr">
        <is>
          <t>Dnev fito-kr d/lica C/L arnika i jimolost 45+ 45ml</t>
        </is>
      </c>
      <c r="E1274" s="23" t="n">
        <v>7.2</v>
      </c>
      <c r="F1274" s="23" t="n">
        <v>12</v>
      </c>
      <c r="G1274" s="23" t="n">
        <v>19</v>
      </c>
      <c r="H1274" s="23" t="n"/>
      <c r="I1274" s="23" t="n"/>
      <c r="J1274" s="23" t="n"/>
      <c r="K1274" s="19" t="n"/>
      <c r="L1274" s="19" t="n"/>
      <c r="M1274" s="20" t="n"/>
      <c r="N1274" s="20" t="n">
        <v>50</v>
      </c>
      <c r="O1274" s="20" t="n"/>
      <c r="P1274" s="20">
        <f>O1274-N1274</f>
        <v/>
      </c>
      <c r="Q1274" s="20">
        <f>P1274*E1274</f>
        <v/>
      </c>
      <c r="R1274" s="20" t="n"/>
    </row>
    <row r="1275" ht="20" customHeight="1" s="1">
      <c r="A1275" s="16" t="inlineStr">
        <is>
          <t>20120</t>
        </is>
      </c>
      <c r="B1275" s="17" t="inlineStr">
        <is>
          <t>KALINA</t>
        </is>
      </c>
      <c r="C1275" s="16" t="inlineStr">
        <is>
          <t>4600702092462</t>
        </is>
      </c>
      <c r="D1275" s="17" t="inlineStr">
        <is>
          <t>Nocn fito-kr d/lica C/L arnika i jimol 45+ 45ml</t>
        </is>
      </c>
      <c r="E1275" s="18" t="n">
        <v>7.2</v>
      </c>
      <c r="F1275" s="18" t="n">
        <v>12</v>
      </c>
      <c r="G1275" s="18" t="n">
        <v>13</v>
      </c>
      <c r="H1275" s="18" t="n"/>
      <c r="I1275" s="18" t="n"/>
      <c r="J1275" s="18" t="n"/>
      <c r="K1275" s="19">
        <f>H1275+I1275+J1275</f>
        <v/>
      </c>
      <c r="L1275" s="19">
        <f>K1275-G1275</f>
        <v/>
      </c>
      <c r="M1275" s="20">
        <f>L1275*E1275</f>
        <v/>
      </c>
      <c r="N1275" s="20" t="n">
        <v>50</v>
      </c>
      <c r="O1275" s="20" t="n"/>
      <c r="P1275" s="20">
        <f>O1275-N1275</f>
        <v/>
      </c>
      <c r="Q1275" s="20">
        <f>P1275*E1275</f>
        <v/>
      </c>
      <c r="R1275" s="20" t="n"/>
    </row>
    <row r="1276" ht="20" customHeight="1" s="1">
      <c r="A1276" s="21" t="inlineStr">
        <is>
          <t>20121</t>
        </is>
      </c>
      <c r="B1276" s="22" t="inlineStr">
        <is>
          <t>KALINA</t>
        </is>
      </c>
      <c r="C1276" s="21" t="inlineStr">
        <is>
          <t>4600702092493</t>
        </is>
      </c>
      <c r="D1276" s="22" t="inlineStr">
        <is>
          <t>Nocn fito-kr d/lica C/L slemnik i moros 55+45ml</t>
        </is>
      </c>
      <c r="E1276" s="23" t="n">
        <v>7.2</v>
      </c>
      <c r="F1276" s="23" t="n">
        <v>12</v>
      </c>
      <c r="G1276" s="23" t="n">
        <v>17</v>
      </c>
      <c r="H1276" s="23" t="n"/>
      <c r="I1276" s="23" t="n"/>
      <c r="J1276" s="23" t="n"/>
      <c r="K1276" s="19">
        <f>H1276+I1276+J1276</f>
        <v/>
      </c>
      <c r="L1276" s="19">
        <f>K1276-G1276</f>
        <v/>
      </c>
      <c r="M1276" s="20">
        <f>L1276*E1276</f>
        <v/>
      </c>
      <c r="N1276" s="20" t="n">
        <v>50</v>
      </c>
      <c r="O1276" s="20" t="n"/>
      <c r="P1276" s="20">
        <f>O1276-N1276</f>
        <v/>
      </c>
      <c r="Q1276" s="20">
        <f>P1276*E1276</f>
        <v/>
      </c>
      <c r="R1276" s="20" t="n"/>
    </row>
    <row r="1277" ht="20" customHeight="1" s="1">
      <c r="A1277" s="16" t="inlineStr">
        <is>
          <t>20118</t>
        </is>
      </c>
      <c r="B1277" s="17" t="inlineStr">
        <is>
          <t>KALINA</t>
        </is>
      </c>
      <c r="C1277" s="16" t="inlineStr">
        <is>
          <t>4600702092486</t>
        </is>
      </c>
      <c r="D1277" s="17" t="inlineStr">
        <is>
          <t>Dnev fito-kr dl/lica C/L slemnik i maroska 55+45ml</t>
        </is>
      </c>
      <c r="E1277" s="18" t="n">
        <v>7.2</v>
      </c>
      <c r="F1277" s="18" t="n">
        <v>12</v>
      </c>
      <c r="G1277" s="18" t="n">
        <v>25</v>
      </c>
      <c r="H1277" s="18" t="n"/>
      <c r="I1277" s="18" t="n"/>
      <c r="J1277" s="18" t="n"/>
      <c r="K1277" s="19">
        <f>H1277+I1277+J1277</f>
        <v/>
      </c>
      <c r="L1277" s="19">
        <f>K1277-G1277</f>
        <v/>
      </c>
      <c r="M1277" s="20">
        <f>L1277*E1277</f>
        <v/>
      </c>
      <c r="N1277" s="20" t="n">
        <v>50</v>
      </c>
      <c r="O1277" s="20" t="n"/>
      <c r="P1277" s="20">
        <f>O1277-N1277</f>
        <v/>
      </c>
      <c r="Q1277" s="20">
        <f>P1277*E1277</f>
        <v/>
      </c>
      <c r="R1277" s="20" t="n"/>
    </row>
    <row r="1278" ht="20" customHeight="1" s="1">
      <c r="A1278" s="21" t="inlineStr">
        <is>
          <t>20122</t>
        </is>
      </c>
      <c r="B1278" s="22" t="inlineStr">
        <is>
          <t>KALINA</t>
        </is>
      </c>
      <c r="C1278" s="21" t="inlineStr">
        <is>
          <t>4600702086430</t>
        </is>
      </c>
      <c r="D1278" s="22" t="inlineStr">
        <is>
          <t>Krem C/L pit i uvlaj dlya Lica i tela 50ml</t>
        </is>
      </c>
      <c r="E1278" s="23" t="n">
        <v>4</v>
      </c>
      <c r="F1278" s="23" t="n">
        <v>18</v>
      </c>
      <c r="G1278" s="23" t="n">
        <v>99</v>
      </c>
      <c r="H1278" s="23" t="n"/>
      <c r="I1278" s="23" t="n"/>
      <c r="J1278" s="23" t="n"/>
      <c r="K1278" s="19">
        <f>H1278+I1278+J1278</f>
        <v/>
      </c>
      <c r="L1278" s="19">
        <f>K1278-G1278</f>
        <v/>
      </c>
      <c r="M1278" s="20">
        <f>L1278*E1278</f>
        <v/>
      </c>
      <c r="N1278" s="20" t="n">
        <v>50</v>
      </c>
      <c r="O1278" s="20" t="n"/>
      <c r="P1278" s="20">
        <f>O1278-N1278</f>
        <v/>
      </c>
      <c r="Q1278" s="20">
        <f>P1278*E1278</f>
        <v/>
      </c>
      <c r="R1278" s="20" t="n"/>
    </row>
    <row r="1279" ht="20" customHeight="1" s="1">
      <c r="A1279" s="16" t="inlineStr">
        <is>
          <t>20196</t>
        </is>
      </c>
      <c r="B1279" s="17" t="inlineStr">
        <is>
          <t>KALINA</t>
        </is>
      </c>
      <c r="C1279" s="16" t="inlineStr">
        <is>
          <t>4600702064902</t>
        </is>
      </c>
      <c r="D1279" s="17" t="inlineStr">
        <is>
          <t>Myaqkiy skrab   C/L 50 ml</t>
        </is>
      </c>
      <c r="E1279" s="18" t="n">
        <v>3.8</v>
      </c>
      <c r="F1279" s="18" t="n">
        <v>24</v>
      </c>
      <c r="G1279" s="18" t="n">
        <v>80</v>
      </c>
      <c r="H1279" s="18" t="n"/>
      <c r="I1279" s="18" t="n"/>
      <c r="J1279" s="18" t="n"/>
      <c r="K1279" s="19">
        <f>H1279+I1279+J1279</f>
        <v/>
      </c>
      <c r="L1279" s="19">
        <f>K1279-G1279</f>
        <v/>
      </c>
      <c r="M1279" s="20">
        <f>L1279*E1279</f>
        <v/>
      </c>
      <c r="N1279" s="20" t="n">
        <v>50</v>
      </c>
      <c r="O1279" s="20" t="n"/>
      <c r="P1279" s="20">
        <f>O1279-N1279</f>
        <v/>
      </c>
      <c r="Q1279" s="20">
        <f>P1279*E1279</f>
        <v/>
      </c>
      <c r="R1279" s="20" t="n"/>
    </row>
    <row r="1280" ht="20" customHeight="1" s="1">
      <c r="A1280" s="21" t="inlineStr">
        <is>
          <t>20197</t>
        </is>
      </c>
      <c r="B1280" s="22" t="inlineStr">
        <is>
          <t>KALINA</t>
        </is>
      </c>
      <c r="C1280" s="21" t="inlineStr">
        <is>
          <t>4600702062687</t>
        </is>
      </c>
      <c r="D1280" s="22" t="inlineStr">
        <is>
          <t>Skrab C/L ocisayusi (top 20) 50 ml</t>
        </is>
      </c>
      <c r="E1280" s="23" t="n">
        <v>3.8</v>
      </c>
      <c r="F1280" s="23" t="n">
        <v>24</v>
      </c>
      <c r="G1280" s="23" t="n">
        <v>196</v>
      </c>
      <c r="H1280" s="23" t="n"/>
      <c r="I1280" s="23" t="n"/>
      <c r="J1280" s="23" t="n"/>
      <c r="K1280" s="19">
        <f>H1280+I1280+J1280</f>
        <v/>
      </c>
      <c r="L1280" s="19">
        <f>K1280-G1280</f>
        <v/>
      </c>
      <c r="M1280" s="20">
        <f>L1280*E1280</f>
        <v/>
      </c>
      <c r="N1280" s="20" t="n">
        <v>50</v>
      </c>
      <c r="O1280" s="20" t="n"/>
      <c r="P1280" s="20">
        <f>O1280-N1280</f>
        <v/>
      </c>
      <c r="Q1280" s="20">
        <f>P1280*E1280</f>
        <v/>
      </c>
      <c r="R1280" s="20" t="n"/>
    </row>
    <row r="1281" ht="20" customHeight="1" s="1">
      <c r="A1281" s="16" t="inlineStr">
        <is>
          <t>21592</t>
        </is>
      </c>
      <c r="B1281" s="17" t="inlineStr">
        <is>
          <t>KALINA</t>
        </is>
      </c>
      <c r="C1281" s="16" t="inlineStr">
        <is>
          <t>8714100915233</t>
        </is>
      </c>
      <c r="D1281" s="17" t="inlineStr">
        <is>
          <t>Maska d/lica C/L qialuron aloe vera uvlaj 19.7 gr</t>
        </is>
      </c>
      <c r="E1281" s="18" t="n">
        <v>2.5</v>
      </c>
      <c r="F1281" s="18" t="n">
        <v>15</v>
      </c>
      <c r="G1281" s="18" t="n">
        <v>36</v>
      </c>
      <c r="H1281" s="18" t="n"/>
      <c r="I1281" s="18" t="n"/>
      <c r="J1281" s="18" t="n"/>
      <c r="K1281" s="19">
        <f>H1281+I1281+J1281</f>
        <v/>
      </c>
      <c r="L1281" s="19">
        <f>K1281-G1281</f>
        <v/>
      </c>
      <c r="M1281" s="20">
        <f>L1281*E1281</f>
        <v/>
      </c>
      <c r="N1281" s="20" t="n">
        <v>50</v>
      </c>
      <c r="O1281" s="20" t="n"/>
      <c r="P1281" s="20">
        <f>O1281-N1281</f>
        <v/>
      </c>
      <c r="Q1281" s="20">
        <f>P1281*E1281</f>
        <v/>
      </c>
      <c r="R1281" s="20" t="n"/>
    </row>
    <row r="1282" ht="20" customHeight="1" s="1">
      <c r="A1282" s="21" t="inlineStr">
        <is>
          <t>21591</t>
        </is>
      </c>
      <c r="B1282" s="22" t="inlineStr">
        <is>
          <t>KALINA</t>
        </is>
      </c>
      <c r="C1282" s="21" t="inlineStr">
        <is>
          <t>8714100915219</t>
        </is>
      </c>
      <c r="D1282" s="22" t="inlineStr">
        <is>
          <t>Maska d/lica C/L vitamin ekstra roza siyan 19.7 gr</t>
        </is>
      </c>
      <c r="E1282" s="23" t="n">
        <v>2.5</v>
      </c>
      <c r="F1282" s="23" t="n">
        <v>15</v>
      </c>
      <c r="G1282" s="23" t="n">
        <v>10</v>
      </c>
      <c r="H1282" s="23" t="n"/>
      <c r="I1282" s="23" t="n"/>
      <c r="J1282" s="23" t="n"/>
      <c r="K1282" s="19" t="n"/>
      <c r="L1282" s="19" t="n"/>
      <c r="M1282" s="20" t="n"/>
      <c r="N1282" s="20" t="n">
        <v>50</v>
      </c>
      <c r="O1282" s="20" t="n"/>
      <c r="P1282" s="20">
        <f>O1282-N1282</f>
        <v/>
      </c>
      <c r="Q1282" s="20">
        <f>P1282*E1282</f>
        <v/>
      </c>
      <c r="R1282" s="20" t="n"/>
    </row>
    <row r="1283" ht="20" customHeight="1" s="1">
      <c r="A1283" s="16" t="inlineStr">
        <is>
          <t>21664</t>
        </is>
      </c>
      <c r="B1283" s="17" t="inlineStr">
        <is>
          <t>KALINA</t>
        </is>
      </c>
      <c r="C1283" s="16" t="inlineStr">
        <is>
          <t>8714100900673</t>
        </is>
      </c>
      <c r="D1283" s="17" t="inlineStr">
        <is>
          <t>C/L Maska d.licsa Tkanevaya Idealnaya koja 1 ədəd</t>
        </is>
      </c>
      <c r="E1283" s="18" t="n">
        <v>3.75</v>
      </c>
      <c r="F1283" s="18" t="n">
        <v>15</v>
      </c>
      <c r="G1283" s="18" t="n">
        <v>42</v>
      </c>
      <c r="H1283" s="18" t="n"/>
      <c r="I1283" s="18" t="n"/>
      <c r="J1283" s="18" t="n"/>
      <c r="K1283" s="19">
        <f>H1283+I1283+J1283</f>
        <v/>
      </c>
      <c r="L1283" s="19">
        <f>K1283-G1283</f>
        <v/>
      </c>
      <c r="M1283" s="20">
        <f>L1283*E1283</f>
        <v/>
      </c>
      <c r="N1283" s="20" t="n">
        <v>50</v>
      </c>
      <c r="O1283" s="20" t="n"/>
      <c r="P1283" s="20">
        <f>O1283-N1283</f>
        <v/>
      </c>
      <c r="Q1283" s="20">
        <f>P1283*E1283</f>
        <v/>
      </c>
      <c r="R1283" s="20" t="n"/>
    </row>
    <row r="1284" ht="20" customHeight="1" s="1">
      <c r="A1284" s="21" t="inlineStr">
        <is>
          <t>21665</t>
        </is>
      </c>
      <c r="B1284" s="22" t="inlineStr">
        <is>
          <t>KALINA</t>
        </is>
      </c>
      <c r="C1284" s="21" t="inlineStr">
        <is>
          <t>8714100916964</t>
        </is>
      </c>
      <c r="D1284" s="22" t="inlineStr">
        <is>
          <t xml:space="preserve">C/L Maska d.licsa Ocishayushaya 45ml </t>
        </is>
      </c>
      <c r="E1284" s="23" t="n">
        <v>7.65</v>
      </c>
      <c r="F1284" s="23" t="n">
        <v>12</v>
      </c>
      <c r="G1284" s="23" t="n">
        <v>25</v>
      </c>
      <c r="H1284" s="23" t="n"/>
      <c r="I1284" s="23" t="n"/>
      <c r="J1284" s="23" t="n"/>
      <c r="K1284" s="19">
        <f>H1284+I1284+J1284</f>
        <v/>
      </c>
      <c r="L1284" s="19">
        <f>K1284-G1284</f>
        <v/>
      </c>
      <c r="M1284" s="20">
        <f>L1284*E1284</f>
        <v/>
      </c>
      <c r="N1284" s="20" t="n">
        <v>50</v>
      </c>
      <c r="O1284" s="20" t="n"/>
      <c r="P1284" s="20">
        <f>O1284-N1284</f>
        <v/>
      </c>
      <c r="Q1284" s="20">
        <f>P1284*E1284</f>
        <v/>
      </c>
      <c r="R1284" s="20" t="n"/>
    </row>
    <row r="1285" ht="20" customHeight="1" s="1">
      <c r="A1285" s="16" t="inlineStr">
        <is>
          <t>20167</t>
        </is>
      </c>
      <c r="B1285" s="17" t="inlineStr">
        <is>
          <t>KALINA</t>
        </is>
      </c>
      <c r="C1285" s="16" t="inlineStr">
        <is>
          <t>4600702083613</t>
        </is>
      </c>
      <c r="D1285" s="17" t="inlineStr">
        <is>
          <t>Balzam d/qub C/L  3-v-1 pit.uvl.smy.romaska</t>
        </is>
      </c>
      <c r="E1285" s="18" t="n">
        <v>3.8</v>
      </c>
      <c r="F1285" s="18" t="n">
        <v>24</v>
      </c>
      <c r="G1285" s="18" t="n">
        <v>55</v>
      </c>
      <c r="H1285" s="18" t="n"/>
      <c r="I1285" s="18" t="n"/>
      <c r="J1285" s="18" t="n"/>
      <c r="K1285" s="19">
        <f>H1285+I1285+J1285</f>
        <v/>
      </c>
      <c r="L1285" s="19">
        <f>K1285-G1285</f>
        <v/>
      </c>
      <c r="M1285" s="20">
        <f>L1285*E1285</f>
        <v/>
      </c>
      <c r="N1285" s="20" t="n">
        <v>50</v>
      </c>
      <c r="O1285" s="20" t="n"/>
      <c r="P1285" s="20">
        <f>O1285-N1285</f>
        <v/>
      </c>
      <c r="Q1285" s="20">
        <f>P1285*E1285</f>
        <v/>
      </c>
      <c r="R1285" s="20" t="n"/>
    </row>
    <row r="1286" ht="20" customHeight="1" s="1">
      <c r="A1286" s="21" t="inlineStr">
        <is>
          <t>20168</t>
        </is>
      </c>
      <c r="B1286" s="22" t="inlineStr">
        <is>
          <t>KALINA</t>
        </is>
      </c>
      <c r="C1286" s="21" t="inlineStr">
        <is>
          <t>4600702083651</t>
        </is>
      </c>
      <c r="D1286" s="22" t="inlineStr">
        <is>
          <t>Balzam d/qub C/L prot.obvetrivaniya brusnika</t>
        </is>
      </c>
      <c r="E1286" s="23" t="n">
        <v>3.8</v>
      </c>
      <c r="F1286" s="23" t="n">
        <v>24</v>
      </c>
      <c r="G1286" s="23" t="n">
        <v>121</v>
      </c>
      <c r="H1286" s="23" t="n"/>
      <c r="I1286" s="23" t="n"/>
      <c r="J1286" s="23" t="n"/>
      <c r="K1286" s="19">
        <f>H1286+I1286+J1286</f>
        <v/>
      </c>
      <c r="L1286" s="19">
        <f>K1286-G1286</f>
        <v/>
      </c>
      <c r="M1286" s="20">
        <f>L1286*E1286</f>
        <v/>
      </c>
      <c r="N1286" s="20" t="n">
        <v>50</v>
      </c>
      <c r="O1286" s="20" t="n"/>
      <c r="P1286" s="20">
        <f>O1286-N1286</f>
        <v/>
      </c>
      <c r="Q1286" s="20">
        <f>P1286*E1286</f>
        <v/>
      </c>
      <c r="R1286" s="20" t="n"/>
    </row>
    <row r="1287" ht="20" customHeight="1" s="1">
      <c r="A1287" s="16" t="inlineStr">
        <is>
          <t>20169</t>
        </is>
      </c>
      <c r="B1287" s="17" t="inlineStr">
        <is>
          <t>KALINA</t>
        </is>
      </c>
      <c r="C1287" s="16" t="inlineStr">
        <is>
          <t>4605922335214</t>
        </is>
      </c>
      <c r="D1287" s="17" t="inlineStr">
        <is>
          <t>Balzam d/qub C/L Fitopantenol</t>
        </is>
      </c>
      <c r="E1287" s="18" t="n">
        <v>3.8</v>
      </c>
      <c r="F1287" s="18" t="n">
        <v>24</v>
      </c>
      <c r="G1287" s="18" t="n">
        <v>121</v>
      </c>
      <c r="H1287" s="18" t="n"/>
      <c r="I1287" s="18" t="n"/>
      <c r="J1287" s="18" t="n"/>
      <c r="K1287" s="19">
        <f>H1287+I1287+J1287</f>
        <v/>
      </c>
      <c r="L1287" s="19">
        <f>K1287-G1287</f>
        <v/>
      </c>
      <c r="M1287" s="20">
        <f>L1287*E1287</f>
        <v/>
      </c>
      <c r="N1287" s="20" t="n">
        <v>50</v>
      </c>
      <c r="O1287" s="20" t="n"/>
      <c r="P1287" s="20">
        <f>O1287-N1287</f>
        <v/>
      </c>
      <c r="Q1287" s="20">
        <f>P1287*E1287</f>
        <v/>
      </c>
      <c r="R1287" s="20" t="n"/>
    </row>
    <row r="1288" ht="20" customHeight="1" s="1">
      <c r="A1288" s="21" t="inlineStr">
        <is>
          <t>21666</t>
        </is>
      </c>
      <c r="B1288" s="22" t="inlineStr">
        <is>
          <t>KALINA</t>
        </is>
      </c>
      <c r="C1288" s="21" t="inlineStr">
        <is>
          <t>8720633007406</t>
        </is>
      </c>
      <c r="D1288" s="22" t="inlineStr">
        <is>
          <t>C/L Milo kosmeticeskoe Socniy Aloe 75qr</t>
        </is>
      </c>
      <c r="E1288" s="23" t="n">
        <v>2.25</v>
      </c>
      <c r="F1288" s="23" t="n">
        <v>12</v>
      </c>
      <c r="G1288" s="23" t="n">
        <v>0</v>
      </c>
      <c r="H1288" s="23" t="n"/>
      <c r="I1288" s="23" t="n"/>
      <c r="J1288" s="23" t="n"/>
      <c r="K1288" s="19">
        <f>H1288+I1288+J1288</f>
        <v/>
      </c>
      <c r="L1288" s="19">
        <f>K1288-G1288</f>
        <v/>
      </c>
      <c r="M1288" s="20">
        <f>L1288*E1288</f>
        <v/>
      </c>
      <c r="N1288" s="20" t="n">
        <v>50</v>
      </c>
      <c r="O1288" s="20" t="n"/>
      <c r="P1288" s="20">
        <f>O1288-N1288</f>
        <v/>
      </c>
      <c r="Q1288" s="20">
        <f>P1288*E1288</f>
        <v/>
      </c>
      <c r="R1288" s="20" t="n"/>
    </row>
    <row r="1289" ht="20" customHeight="1" s="1">
      <c r="A1289" s="16" t="inlineStr">
        <is>
          <t>21667</t>
        </is>
      </c>
      <c r="B1289" s="17" t="inlineStr">
        <is>
          <t>KALINA</t>
        </is>
      </c>
      <c r="C1289" s="16" t="inlineStr">
        <is>
          <t>8720633007437</t>
        </is>
      </c>
      <c r="D1289" s="17" t="inlineStr">
        <is>
          <t>C/L Milo kosmeticeskoe Klubnika 75qr</t>
        </is>
      </c>
      <c r="E1289" s="18" t="n">
        <v>2.25</v>
      </c>
      <c r="F1289" s="18" t="n">
        <v>12</v>
      </c>
      <c r="G1289" s="18" t="n">
        <v>5</v>
      </c>
      <c r="H1289" s="18" t="n"/>
      <c r="I1289" s="18" t="n"/>
      <c r="J1289" s="18" t="n"/>
      <c r="K1289" s="19" t="n"/>
      <c r="L1289" s="19" t="n"/>
      <c r="M1289" s="20" t="n"/>
      <c r="N1289" s="20" t="n">
        <v>50</v>
      </c>
      <c r="O1289" s="20" t="n"/>
      <c r="P1289" s="20">
        <f>O1289-N1289</f>
        <v/>
      </c>
      <c r="Q1289" s="20">
        <f>P1289*E1289</f>
        <v/>
      </c>
      <c r="R1289" s="20" t="n"/>
    </row>
    <row r="1290" ht="20" customHeight="1" s="1">
      <c r="A1290" s="21" t="inlineStr">
        <is>
          <t>21668</t>
        </is>
      </c>
      <c r="B1290" s="22" t="inlineStr">
        <is>
          <t>KALINA</t>
        </is>
      </c>
      <c r="C1290" s="21" t="inlineStr">
        <is>
          <t>8720633008397</t>
        </is>
      </c>
      <c r="D1290" s="22" t="inlineStr">
        <is>
          <t>C/L Milo kosmeticeskoe Smorodina 75qr</t>
        </is>
      </c>
      <c r="E1290" s="23" t="n">
        <v>2.25</v>
      </c>
      <c r="F1290" s="23" t="n">
        <v>12</v>
      </c>
      <c r="G1290" s="23" t="n">
        <v>0</v>
      </c>
      <c r="H1290" s="23" t="n"/>
      <c r="I1290" s="23" t="n"/>
      <c r="J1290" s="23" t="n"/>
      <c r="K1290" s="19">
        <f>H1290+I1290+J1290</f>
        <v/>
      </c>
      <c r="L1290" s="19">
        <f>K1290-G1290</f>
        <v/>
      </c>
      <c r="M1290" s="20">
        <f>L1290*E1290</f>
        <v/>
      </c>
      <c r="N1290" s="20" t="n">
        <v>50</v>
      </c>
      <c r="O1290" s="20" t="n"/>
      <c r="P1290" s="20">
        <f>O1290-N1290</f>
        <v/>
      </c>
      <c r="Q1290" s="20">
        <f>P1290*E1290</f>
        <v/>
      </c>
      <c r="R1290" s="20" t="n"/>
    </row>
    <row r="1291" ht="20" customHeight="1" s="1">
      <c r="A1291" s="16" t="inlineStr">
        <is>
          <t>22207</t>
        </is>
      </c>
      <c r="B1291" s="17" t="inlineStr">
        <is>
          <t>KALINA</t>
        </is>
      </c>
      <c r="C1291" s="16" t="inlineStr">
        <is>
          <t>8714100860991</t>
        </is>
      </c>
      <c r="D1291" s="17" t="inlineStr">
        <is>
          <t>C/J dnevnoy krem dlya litsa pitanie 46 ml</t>
        </is>
      </c>
      <c r="E1291" s="18" t="n">
        <v>7.8</v>
      </c>
      <c r="F1291" s="18" t="n">
        <v>12</v>
      </c>
      <c r="G1291" s="18" t="n">
        <v>10</v>
      </c>
      <c r="H1291" s="18" t="n"/>
      <c r="I1291" s="18" t="n"/>
      <c r="J1291" s="18" t="n"/>
      <c r="K1291" s="19" t="n"/>
      <c r="L1291" s="19" t="n"/>
      <c r="M1291" s="20" t="n"/>
      <c r="N1291" s="20" t="n">
        <v>50</v>
      </c>
      <c r="O1291" s="20" t="n"/>
      <c r="P1291" s="20">
        <f>O1291-N1291</f>
        <v/>
      </c>
      <c r="Q1291" s="20">
        <f>P1291*E1291</f>
        <v/>
      </c>
      <c r="R1291" s="20" t="n"/>
    </row>
    <row r="1292" ht="20" customHeight="1" s="1">
      <c r="A1292" s="21" t="inlineStr">
        <is>
          <t>22205</t>
        </is>
      </c>
      <c r="B1292" s="22" t="inlineStr">
        <is>
          <t>KALINA</t>
        </is>
      </c>
      <c r="C1292" s="21" t="inlineStr">
        <is>
          <t>4600702092035</t>
        </is>
      </c>
      <c r="D1292" s="22" t="inlineStr">
        <is>
          <t>C/J dnevnoy krem dlya litsa programma 60+ 50ml</t>
        </is>
      </c>
      <c r="E1292" s="23" t="n">
        <v>7.8</v>
      </c>
      <c r="F1292" s="23" t="n">
        <v>12</v>
      </c>
      <c r="G1292" s="23" t="n">
        <v>10</v>
      </c>
      <c r="H1292" s="23" t="n"/>
      <c r="I1292" s="23" t="n"/>
      <c r="J1292" s="23" t="n"/>
      <c r="K1292" s="19" t="n"/>
      <c r="L1292" s="19" t="n"/>
      <c r="M1292" s="20" t="n"/>
      <c r="N1292" s="20" t="n">
        <v>50</v>
      </c>
      <c r="O1292" s="20" t="n"/>
      <c r="P1292" s="20">
        <f>O1292-N1292</f>
        <v/>
      </c>
      <c r="Q1292" s="20">
        <f>P1292*E1292</f>
        <v/>
      </c>
      <c r="R1292" s="20" t="n"/>
    </row>
    <row r="1293" ht="20" customHeight="1" s="1">
      <c r="A1293" s="16" t="inlineStr">
        <is>
          <t>22196</t>
        </is>
      </c>
      <c r="B1293" s="17" t="inlineStr">
        <is>
          <t>KALINA</t>
        </is>
      </c>
      <c r="C1293" s="16" t="inlineStr">
        <is>
          <t>8714100904114</t>
        </is>
      </c>
      <c r="D1293" s="17" t="inlineStr">
        <is>
          <t>C/J nocnoy krem dlya litsa programma 60+ 50ml</t>
        </is>
      </c>
      <c r="E1293" s="18" t="n">
        <v>7.8</v>
      </c>
      <c r="F1293" s="18" t="n">
        <v>12</v>
      </c>
      <c r="G1293" s="18" t="n">
        <v>10</v>
      </c>
      <c r="H1293" s="18" t="n"/>
      <c r="I1293" s="18" t="n"/>
      <c r="J1293" s="18" t="n"/>
      <c r="K1293" s="19" t="n"/>
      <c r="L1293" s="19" t="n"/>
      <c r="M1293" s="20" t="n"/>
      <c r="N1293" s="20" t="n">
        <v>50</v>
      </c>
      <c r="O1293" s="20" t="n"/>
      <c r="P1293" s="20">
        <f>O1293-N1293</f>
        <v/>
      </c>
      <c r="Q1293" s="20">
        <f>P1293*E1293</f>
        <v/>
      </c>
      <c r="R1293" s="20" t="n"/>
    </row>
    <row r="1294" ht="20" customHeight="1" s="1">
      <c r="A1294" s="21" t="inlineStr">
        <is>
          <t>22203</t>
        </is>
      </c>
      <c r="B1294" s="22" t="inlineStr">
        <is>
          <t>KALINA</t>
        </is>
      </c>
      <c r="C1294" s="21" t="inlineStr">
        <is>
          <t>4600702086508</t>
        </is>
      </c>
      <c r="D1294" s="22" t="inlineStr">
        <is>
          <t>C/J dnevnoy krem dlya litsa programma 56+ 50ml</t>
        </is>
      </c>
      <c r="E1294" s="23" t="n">
        <v>7.8</v>
      </c>
      <c r="F1294" s="23" t="n">
        <v>12</v>
      </c>
      <c r="G1294" s="23" t="n">
        <v>10</v>
      </c>
      <c r="H1294" s="23" t="n"/>
      <c r="I1294" s="23" t="n"/>
      <c r="J1294" s="23" t="n"/>
      <c r="K1294" s="19" t="n"/>
      <c r="L1294" s="19" t="n"/>
      <c r="M1294" s="20" t="n"/>
      <c r="N1294" s="20" t="n">
        <v>50</v>
      </c>
      <c r="O1294" s="20" t="n"/>
      <c r="P1294" s="20">
        <f>O1294-N1294</f>
        <v/>
      </c>
      <c r="Q1294" s="20">
        <f>P1294*E1294</f>
        <v/>
      </c>
      <c r="R1294" s="20" t="n"/>
    </row>
    <row r="1295" ht="20" customHeight="1" s="1">
      <c r="A1295" s="16" t="inlineStr">
        <is>
          <t>22204</t>
        </is>
      </c>
      <c r="B1295" s="17" t="inlineStr">
        <is>
          <t>KALINA</t>
        </is>
      </c>
      <c r="C1295" s="16" t="inlineStr">
        <is>
          <t>4600702086515</t>
        </is>
      </c>
      <c r="D1295" s="17" t="inlineStr">
        <is>
          <t>C/J nocnoy krem dlya litsa programma 56+ 50ml</t>
        </is>
      </c>
      <c r="E1295" s="18" t="n">
        <v>7.8</v>
      </c>
      <c r="F1295" s="18" t="n">
        <v>12</v>
      </c>
      <c r="G1295" s="18" t="n">
        <v>10</v>
      </c>
      <c r="H1295" s="18" t="n"/>
      <c r="I1295" s="18" t="n"/>
      <c r="J1295" s="18" t="n"/>
      <c r="K1295" s="19" t="n"/>
      <c r="L1295" s="19" t="n"/>
      <c r="M1295" s="20" t="n"/>
      <c r="N1295" s="20" t="n">
        <v>50</v>
      </c>
      <c r="O1295" s="20" t="n"/>
      <c r="P1295" s="20">
        <f>O1295-N1295</f>
        <v/>
      </c>
      <c r="Q1295" s="20">
        <f>P1295*E1295</f>
        <v/>
      </c>
      <c r="R1295" s="20" t="n"/>
    </row>
    <row r="1296" ht="20" customHeight="1" s="1">
      <c r="A1296" s="21" t="inlineStr">
        <is>
          <t>22201</t>
        </is>
      </c>
      <c r="B1296" s="22" t="inlineStr">
        <is>
          <t>KALINA</t>
        </is>
      </c>
      <c r="C1296" s="21" t="inlineStr">
        <is>
          <t>4600702086485</t>
        </is>
      </c>
      <c r="D1296" s="22" t="inlineStr">
        <is>
          <t>C/J dnevnoy krem dlya litsa programma 46+ 50ml</t>
        </is>
      </c>
      <c r="E1296" s="23" t="n">
        <v>7.8</v>
      </c>
      <c r="F1296" s="23" t="n">
        <v>12</v>
      </c>
      <c r="G1296" s="23" t="n">
        <v>10</v>
      </c>
      <c r="H1296" s="23" t="n"/>
      <c r="I1296" s="23" t="n"/>
      <c r="J1296" s="23" t="n"/>
      <c r="K1296" s="19" t="n"/>
      <c r="L1296" s="19" t="n"/>
      <c r="M1296" s="20" t="n"/>
      <c r="N1296" s="20" t="n">
        <v>50</v>
      </c>
      <c r="O1296" s="20" t="n"/>
      <c r="P1296" s="20">
        <f>O1296-N1296</f>
        <v/>
      </c>
      <c r="Q1296" s="20">
        <f>P1296*E1296</f>
        <v/>
      </c>
      <c r="R1296" s="20" t="n"/>
    </row>
    <row r="1297" ht="20" customHeight="1" s="1">
      <c r="A1297" s="16" t="inlineStr">
        <is>
          <t>22202</t>
        </is>
      </c>
      <c r="B1297" s="17" t="inlineStr">
        <is>
          <t>KALINA</t>
        </is>
      </c>
      <c r="C1297" s="16" t="inlineStr">
        <is>
          <t>4600702086492</t>
        </is>
      </c>
      <c r="D1297" s="17" t="inlineStr">
        <is>
          <t>C/J nocnoy krem dlya litsa programma 46+ 50ml</t>
        </is>
      </c>
      <c r="E1297" s="18" t="n">
        <v>7.8</v>
      </c>
      <c r="F1297" s="18" t="n">
        <v>12</v>
      </c>
      <c r="G1297" s="18" t="n">
        <v>10</v>
      </c>
      <c r="H1297" s="18" t="n"/>
      <c r="I1297" s="18" t="n"/>
      <c r="J1297" s="18" t="n"/>
      <c r="K1297" s="19" t="n"/>
      <c r="L1297" s="19" t="n"/>
      <c r="M1297" s="20" t="n"/>
      <c r="N1297" s="20" t="n">
        <v>50</v>
      </c>
      <c r="O1297" s="20" t="n"/>
      <c r="P1297" s="20">
        <f>O1297-N1297</f>
        <v/>
      </c>
      <c r="Q1297" s="20">
        <f>P1297*E1297</f>
        <v/>
      </c>
      <c r="R1297" s="20" t="n"/>
    </row>
    <row r="1298" ht="20" customHeight="1" s="1">
      <c r="A1298" s="21" t="inlineStr">
        <is>
          <t>22197</t>
        </is>
      </c>
      <c r="B1298" s="22" t="inlineStr">
        <is>
          <t>KALINA</t>
        </is>
      </c>
      <c r="C1298" s="21" t="inlineStr">
        <is>
          <t>4600702086720</t>
        </is>
      </c>
      <c r="D1298" s="22" t="inlineStr">
        <is>
          <t>C/J dnevnoy krem dlya litsa programma 36+ 50ml</t>
        </is>
      </c>
      <c r="E1298" s="23" t="n">
        <v>7.8</v>
      </c>
      <c r="F1298" s="23" t="n">
        <v>12</v>
      </c>
      <c r="G1298" s="23" t="n">
        <v>10</v>
      </c>
      <c r="H1298" s="23" t="n"/>
      <c r="I1298" s="23" t="n"/>
      <c r="J1298" s="23" t="n"/>
      <c r="K1298" s="19" t="n"/>
      <c r="L1298" s="19" t="n"/>
      <c r="M1298" s="20" t="n"/>
      <c r="N1298" s="20" t="n">
        <v>50</v>
      </c>
      <c r="O1298" s="20" t="n"/>
      <c r="P1298" s="20">
        <f>O1298-N1298</f>
        <v/>
      </c>
      <c r="Q1298" s="20">
        <f>P1298*E1298</f>
        <v/>
      </c>
      <c r="R1298" s="20" t="n"/>
    </row>
    <row r="1299" ht="20" customHeight="1" s="1">
      <c r="A1299" s="16" t="inlineStr">
        <is>
          <t>22198</t>
        </is>
      </c>
      <c r="B1299" s="17" t="inlineStr">
        <is>
          <t>KALINA</t>
        </is>
      </c>
      <c r="C1299" s="16" t="inlineStr">
        <is>
          <t>4600702086737</t>
        </is>
      </c>
      <c r="D1299" s="17" t="inlineStr">
        <is>
          <t>C/J nocnoy krem dlya litsa programma 36+ 50ml</t>
        </is>
      </c>
      <c r="E1299" s="18" t="n">
        <v>7.8</v>
      </c>
      <c r="F1299" s="18" t="n">
        <v>12</v>
      </c>
      <c r="G1299" s="18" t="n">
        <v>10</v>
      </c>
      <c r="H1299" s="18" t="n"/>
      <c r="I1299" s="18" t="n"/>
      <c r="J1299" s="18" t="n"/>
      <c r="K1299" s="19" t="n"/>
      <c r="L1299" s="19" t="n"/>
      <c r="M1299" s="20" t="n"/>
      <c r="N1299" s="20" t="n">
        <v>50</v>
      </c>
      <c r="O1299" s="20" t="n"/>
      <c r="P1299" s="20">
        <f>O1299-N1299</f>
        <v/>
      </c>
      <c r="Q1299" s="20">
        <f>P1299*E1299</f>
        <v/>
      </c>
      <c r="R1299" s="20" t="n"/>
    </row>
    <row r="1300" ht="20" customHeight="1" s="1">
      <c r="A1300" s="21" t="inlineStr">
        <is>
          <t>22199</t>
        </is>
      </c>
      <c r="B1300" s="22" t="inlineStr">
        <is>
          <t>KALINA</t>
        </is>
      </c>
      <c r="C1300" s="21" t="inlineStr">
        <is>
          <t>8714100781098</t>
        </is>
      </c>
      <c r="D1300" s="22" t="inlineStr">
        <is>
          <t>C/J dnevnoy krem dlya litsa uvlajnenie 50ml</t>
        </is>
      </c>
      <c r="E1300" s="23" t="n">
        <v>7.8</v>
      </c>
      <c r="F1300" s="23" t="n">
        <v>12</v>
      </c>
      <c r="G1300" s="23" t="n">
        <v>10</v>
      </c>
      <c r="H1300" s="23" t="n"/>
      <c r="I1300" s="23" t="n"/>
      <c r="J1300" s="23" t="n"/>
      <c r="K1300" s="19" t="n"/>
      <c r="L1300" s="19" t="n"/>
      <c r="M1300" s="20" t="n"/>
      <c r="N1300" s="20" t="n">
        <v>50</v>
      </c>
      <c r="O1300" s="20" t="n"/>
      <c r="P1300" s="20">
        <f>O1300-N1300</f>
        <v/>
      </c>
      <c r="Q1300" s="20">
        <f>P1300*E1300</f>
        <v/>
      </c>
      <c r="R1300" s="20" t="n"/>
    </row>
    <row r="1301" ht="20" customHeight="1" s="1">
      <c r="A1301" s="16" t="inlineStr">
        <is>
          <t>22200</t>
        </is>
      </c>
      <c r="B1301" s="17" t="inlineStr">
        <is>
          <t>KALINA</t>
        </is>
      </c>
      <c r="C1301" s="16" t="inlineStr">
        <is>
          <t>8714100781012</t>
        </is>
      </c>
      <c r="D1301" s="17" t="inlineStr">
        <is>
          <t>C/J nocnoy krem dlya litsa uvlajnenie 50ml</t>
        </is>
      </c>
      <c r="E1301" s="18" t="n">
        <v>7.8</v>
      </c>
      <c r="F1301" s="18" t="n">
        <v>12</v>
      </c>
      <c r="G1301" s="18" t="n">
        <v>10</v>
      </c>
      <c r="H1301" s="18" t="n"/>
      <c r="I1301" s="18" t="n"/>
      <c r="J1301" s="18" t="n"/>
      <c r="K1301" s="19" t="n"/>
      <c r="L1301" s="19" t="n"/>
      <c r="M1301" s="20" t="n"/>
      <c r="N1301" s="20" t="n">
        <v>50</v>
      </c>
      <c r="O1301" s="20" t="n"/>
      <c r="P1301" s="20">
        <f>O1301-N1301</f>
        <v/>
      </c>
      <c r="Q1301" s="20">
        <f>P1301*E1301</f>
        <v/>
      </c>
      <c r="R1301" s="20" t="n"/>
    </row>
    <row r="1302" ht="20" customHeight="1" s="1">
      <c r="A1302" s="21" t="inlineStr">
        <is>
          <t>22209</t>
        </is>
      </c>
      <c r="B1302" s="22" t="inlineStr">
        <is>
          <t>KALINA</t>
        </is>
      </c>
      <c r="C1302" s="21" t="inlineStr">
        <is>
          <t>8714100902172</t>
        </is>
      </c>
      <c r="D1302" s="22" t="inlineStr">
        <is>
          <t>C/J krem-skulptor dlya litsa I shei LIFTACTIVATOR 50ml</t>
        </is>
      </c>
      <c r="E1302" s="23" t="n">
        <v>13.4</v>
      </c>
      <c r="F1302" s="23" t="n">
        <v>8</v>
      </c>
      <c r="G1302" s="23" t="n">
        <v>8</v>
      </c>
      <c r="H1302" s="23" t="n"/>
      <c r="I1302" s="23" t="n"/>
      <c r="J1302" s="23" t="n"/>
      <c r="K1302" s="19" t="n"/>
      <c r="L1302" s="19" t="n"/>
      <c r="M1302" s="20" t="n"/>
      <c r="N1302" s="20" t="n">
        <v>50</v>
      </c>
      <c r="O1302" s="20" t="n"/>
      <c r="P1302" s="20">
        <f>O1302-N1302</f>
        <v/>
      </c>
      <c r="Q1302" s="20">
        <f>P1302*E1302</f>
        <v/>
      </c>
      <c r="R1302" s="20" t="n"/>
    </row>
    <row r="1303" ht="20" customHeight="1" s="1">
      <c r="A1303" s="16" t="inlineStr">
        <is>
          <t>22206</t>
        </is>
      </c>
      <c r="B1303" s="17" t="inlineStr">
        <is>
          <t>KALINA</t>
        </is>
      </c>
      <c r="C1303" s="16" t="inlineStr">
        <is>
          <t>8714100860168</t>
        </is>
      </c>
      <c r="D1303" s="17" t="inlineStr">
        <is>
          <t>C/J nocnoy krem-maska dlya litsa pitanie 46ml</t>
        </is>
      </c>
      <c r="E1303" s="18" t="n">
        <v>7.8</v>
      </c>
      <c r="F1303" s="18" t="n">
        <v>12</v>
      </c>
      <c r="G1303" s="18" t="n">
        <v>10</v>
      </c>
      <c r="H1303" s="18" t="n"/>
      <c r="I1303" s="18" t="n"/>
      <c r="J1303" s="18" t="n"/>
      <c r="K1303" s="19" t="n"/>
      <c r="L1303" s="19" t="n"/>
      <c r="M1303" s="20" t="n"/>
      <c r="N1303" s="20" t="n">
        <v>50</v>
      </c>
      <c r="O1303" s="20" t="n"/>
      <c r="P1303" s="20">
        <f>O1303-N1303</f>
        <v/>
      </c>
      <c r="Q1303" s="20">
        <f>P1303*E1303</f>
        <v/>
      </c>
      <c r="R1303" s="20" t="n"/>
    </row>
    <row r="1304" ht="20" customHeight="1" s="1">
      <c r="A1304" s="21" t="inlineStr">
        <is>
          <t>22214</t>
        </is>
      </c>
      <c r="B1304" s="22" t="inlineStr">
        <is>
          <t>KALINA</t>
        </is>
      </c>
      <c r="C1304" s="21" t="inlineStr">
        <is>
          <t>4605922315711</t>
        </is>
      </c>
      <c r="D1304" s="22" t="inlineStr">
        <is>
          <t>C/J micelarnaya voda dlya litsa I vek I qub 250 ml</t>
        </is>
      </c>
      <c r="E1304" s="23" t="n">
        <v>6.5</v>
      </c>
      <c r="F1304" s="23" t="n">
        <v>12</v>
      </c>
      <c r="G1304" s="23" t="n">
        <v>9</v>
      </c>
      <c r="H1304" s="23" t="n"/>
      <c r="I1304" s="23" t="n"/>
      <c r="J1304" s="23" t="n"/>
      <c r="K1304" s="19">
        <f>H1304+I1304+J1304</f>
        <v/>
      </c>
      <c r="L1304" s="19">
        <f>K1304-G1304</f>
        <v/>
      </c>
      <c r="M1304" s="20">
        <f>L1304*E1304</f>
        <v/>
      </c>
      <c r="N1304" s="20" t="n">
        <v>50</v>
      </c>
      <c r="O1304" s="20" t="n"/>
      <c r="P1304" s="20">
        <f>O1304-N1304</f>
        <v/>
      </c>
      <c r="Q1304" s="20">
        <f>P1304*E1304</f>
        <v/>
      </c>
      <c r="R1304" s="20" t="n"/>
    </row>
    <row r="1305" ht="20" customHeight="1" s="1">
      <c r="A1305" s="16" t="inlineStr">
        <is>
          <t>22215</t>
        </is>
      </c>
      <c r="B1305" s="17" t="inlineStr">
        <is>
          <t>KALINA</t>
        </is>
      </c>
      <c r="C1305" s="16" t="inlineStr">
        <is>
          <t>8714100863572</t>
        </is>
      </c>
      <c r="D1305" s="17" t="inlineStr">
        <is>
          <t>C/J penka-muss dlya umivaniya pitanie 150ml</t>
        </is>
      </c>
      <c r="E1305" s="18" t="n">
        <v>7.4</v>
      </c>
      <c r="F1305" s="18" t="n">
        <v>15</v>
      </c>
      <c r="G1305" s="18" t="n">
        <v>12</v>
      </c>
      <c r="H1305" s="18" t="n"/>
      <c r="I1305" s="18" t="n"/>
      <c r="J1305" s="18" t="n"/>
      <c r="K1305" s="19">
        <f>H1305+I1305+J1305</f>
        <v/>
      </c>
      <c r="L1305" s="19">
        <f>K1305-G1305</f>
        <v/>
      </c>
      <c r="M1305" s="20">
        <f>L1305*E1305</f>
        <v/>
      </c>
      <c r="N1305" s="20" t="n">
        <v>50</v>
      </c>
      <c r="O1305" s="20" t="n"/>
      <c r="P1305" s="20">
        <f>O1305-N1305</f>
        <v/>
      </c>
      <c r="Q1305" s="20">
        <f>P1305*E1305</f>
        <v/>
      </c>
      <c r="R1305" s="20" t="n"/>
    </row>
    <row r="1306" ht="20" customHeight="1" s="1">
      <c r="A1306" s="21" t="inlineStr">
        <is>
          <t>20164</t>
        </is>
      </c>
      <c r="B1306" s="22" t="inlineStr">
        <is>
          <t>KALINA</t>
        </is>
      </c>
      <c r="C1306" s="21" t="inlineStr">
        <is>
          <t>4600702096187</t>
        </is>
      </c>
      <c r="D1306" s="22" t="inlineStr">
        <is>
          <t>Tonik Osv dily/lica uvlaj svejest SRK 250ml</t>
        </is>
      </c>
      <c r="E1306" s="23" t="n">
        <v>5.1</v>
      </c>
      <c r="F1306" s="23" t="n">
        <v>12</v>
      </c>
      <c r="G1306" s="23" t="n">
        <v>35</v>
      </c>
      <c r="H1306" s="23" t="n"/>
      <c r="I1306" s="23" t="n"/>
      <c r="J1306" s="23" t="n"/>
      <c r="K1306" s="19">
        <f>H1306+I1306+J1306</f>
        <v/>
      </c>
      <c r="L1306" s="19">
        <f>K1306-G1306</f>
        <v/>
      </c>
      <c r="M1306" s="20">
        <f>L1306*E1306</f>
        <v/>
      </c>
      <c r="N1306" s="20" t="n">
        <v>50</v>
      </c>
      <c r="O1306" s="20" t="n"/>
      <c r="P1306" s="20">
        <f>O1306-N1306</f>
        <v/>
      </c>
      <c r="Q1306" s="20">
        <f>P1306*E1306</f>
        <v/>
      </c>
      <c r="R1306" s="20" t="n"/>
    </row>
    <row r="1307" ht="20" customHeight="1" s="1">
      <c r="A1307" s="16" t="inlineStr">
        <is>
          <t>20148</t>
        </is>
      </c>
      <c r="B1307" s="17" t="inlineStr">
        <is>
          <t>KALINA</t>
        </is>
      </c>
      <c r="C1307" s="16" t="inlineStr">
        <is>
          <t>46148537</t>
        </is>
      </c>
      <c r="D1307" s="17" t="inlineStr">
        <is>
          <t>Tonik Osv dlya lica SRK uvlaj 100 ml</t>
        </is>
      </c>
      <c r="E1307" s="18" t="n">
        <v>3.2</v>
      </c>
      <c r="F1307" s="18" t="n">
        <v>20</v>
      </c>
      <c r="G1307" s="18" t="n">
        <v>113</v>
      </c>
      <c r="H1307" s="18" t="n"/>
      <c r="I1307" s="18" t="n"/>
      <c r="J1307" s="18" t="n"/>
      <c r="K1307" s="19">
        <f>H1307+I1307+J1307</f>
        <v/>
      </c>
      <c r="L1307" s="19">
        <f>K1307-G1307</f>
        <v/>
      </c>
      <c r="M1307" s="20">
        <f>L1307*E1307</f>
        <v/>
      </c>
      <c r="N1307" s="20" t="n">
        <v>50</v>
      </c>
      <c r="O1307" s="20" t="n"/>
      <c r="P1307" s="20">
        <f>O1307-N1307</f>
        <v/>
      </c>
      <c r="Q1307" s="20">
        <f>P1307*E1307</f>
        <v/>
      </c>
      <c r="R1307" s="20" t="n"/>
    </row>
    <row r="1308" ht="20" customHeight="1" s="1">
      <c r="A1308" s="21" t="inlineStr">
        <is>
          <t>20149</t>
        </is>
      </c>
      <c r="B1308" s="22" t="inlineStr">
        <is>
          <t>KALINA</t>
        </is>
      </c>
      <c r="C1308" s="21" t="inlineStr">
        <is>
          <t>46148513</t>
        </is>
      </c>
      <c r="D1308" s="22" t="inlineStr">
        <is>
          <t>Loson matir d/lica SRK Antibak.effekt 100 ml</t>
        </is>
      </c>
      <c r="E1308" s="23" t="n">
        <v>3.2</v>
      </c>
      <c r="F1308" s="23" t="n">
        <v>24</v>
      </c>
      <c r="G1308" s="23" t="n">
        <v>1</v>
      </c>
      <c r="H1308" s="23" t="n"/>
      <c r="I1308" s="23" t="n"/>
      <c r="J1308" s="23" t="n"/>
      <c r="K1308" s="19" t="n"/>
      <c r="L1308" s="19" t="n"/>
      <c r="M1308" s="20" t="n"/>
      <c r="N1308" s="20" t="n">
        <v>50</v>
      </c>
      <c r="O1308" s="20" t="n"/>
      <c r="P1308" s="20">
        <f>O1308-N1308</f>
        <v/>
      </c>
      <c r="Q1308" s="20">
        <f>P1308*E1308</f>
        <v/>
      </c>
      <c r="R1308" s="20" t="n"/>
    </row>
    <row r="1309" ht="20" customHeight="1" s="1">
      <c r="A1309" s="16" t="inlineStr">
        <is>
          <t>20150</t>
        </is>
      </c>
      <c r="B1309" s="17" t="inlineStr">
        <is>
          <t>KALINA</t>
        </is>
      </c>
      <c r="C1309" s="16" t="inlineStr">
        <is>
          <t>46148520</t>
        </is>
      </c>
      <c r="D1309" s="17" t="inlineStr">
        <is>
          <t>Penka d/umivaniya uvlaj SRK 100 ml</t>
        </is>
      </c>
      <c r="E1309" s="18" t="n">
        <v>3.3</v>
      </c>
      <c r="F1309" s="18" t="n">
        <v>20</v>
      </c>
      <c r="G1309" s="18" t="n">
        <v>162</v>
      </c>
      <c r="H1309" s="18" t="n"/>
      <c r="I1309" s="18" t="n"/>
      <c r="J1309" s="18" t="n"/>
      <c r="K1309" s="19">
        <f>H1309+I1309+J1309</f>
        <v/>
      </c>
      <c r="L1309" s="19">
        <f>K1309-G1309</f>
        <v/>
      </c>
      <c r="M1309" s="20">
        <f>L1309*E1309</f>
        <v/>
      </c>
      <c r="N1309" s="20" t="n">
        <v>50</v>
      </c>
      <c r="O1309" s="20" t="n"/>
      <c r="P1309" s="20">
        <f>O1309-N1309</f>
        <v/>
      </c>
      <c r="Q1309" s="20">
        <f>P1309*E1309</f>
        <v/>
      </c>
      <c r="R1309" s="20" t="n"/>
    </row>
    <row r="1310" ht="20" customHeight="1" s="1">
      <c r="A1310" s="21" t="inlineStr">
        <is>
          <t>20115</t>
        </is>
      </c>
      <c r="B1310" s="22" t="inlineStr">
        <is>
          <t>KALINA</t>
        </is>
      </c>
      <c r="C1310" s="21" t="inlineStr">
        <is>
          <t>4600702095883</t>
        </is>
      </c>
      <c r="D1310" s="22" t="inlineStr">
        <is>
          <t>Gel d/massaja Radkulitniy balzam 75 ml</t>
        </is>
      </c>
      <c r="E1310" s="23" t="n">
        <v>2.5</v>
      </c>
      <c r="F1310" s="23" t="n">
        <v>25</v>
      </c>
      <c r="G1310" s="23" t="n">
        <v>59</v>
      </c>
      <c r="H1310" s="23" t="n"/>
      <c r="I1310" s="23" t="n"/>
      <c r="J1310" s="23" t="n"/>
      <c r="K1310" s="19">
        <f>H1310+I1310+J1310</f>
        <v/>
      </c>
      <c r="L1310" s="19">
        <f>K1310-G1310</f>
        <v/>
      </c>
      <c r="M1310" s="20">
        <f>L1310*E1310</f>
        <v/>
      </c>
      <c r="N1310" s="20" t="n">
        <v>50</v>
      </c>
      <c r="O1310" s="20" t="n"/>
      <c r="P1310" s="20">
        <f>O1310-N1310</f>
        <v/>
      </c>
      <c r="Q1310" s="20">
        <f>P1310*E1310</f>
        <v/>
      </c>
      <c r="R1310" s="20" t="n"/>
    </row>
    <row r="1311" ht="20" customHeight="1" s="1">
      <c r="A1311" s="16" t="inlineStr">
        <is>
          <t>21111</t>
        </is>
      </c>
      <c r="B1311" s="17" t="inlineStr">
        <is>
          <t>KALINA</t>
        </is>
      </c>
      <c r="C1311" s="16" t="inlineStr">
        <is>
          <t>4600702095951</t>
        </is>
      </c>
      <c r="D1311" s="17" t="inlineStr">
        <is>
          <t>Krem dlya ruk VELYUR 70 ml</t>
        </is>
      </c>
      <c r="E1311" s="18" t="n">
        <v>2.2</v>
      </c>
      <c r="F1311" s="18" t="n">
        <v>25</v>
      </c>
      <c r="G1311" s="18" t="n">
        <v>65</v>
      </c>
      <c r="H1311" s="18" t="n"/>
      <c r="I1311" s="18" t="n"/>
      <c r="J1311" s="18" t="n"/>
      <c r="K1311" s="19">
        <f>H1311+I1311+J1311</f>
        <v/>
      </c>
      <c r="L1311" s="19">
        <f>K1311-G1311</f>
        <v/>
      </c>
      <c r="M1311" s="20">
        <f>L1311*E1311</f>
        <v/>
      </c>
      <c r="N1311" s="20" t="n">
        <v>50</v>
      </c>
      <c r="O1311" s="20" t="n"/>
      <c r="P1311" s="20">
        <f>O1311-N1311</f>
        <v/>
      </c>
      <c r="Q1311" s="20">
        <f>P1311*E1311</f>
        <v/>
      </c>
      <c r="R1311" s="20" t="n"/>
    </row>
    <row r="1312" ht="20" customHeight="1" s="1">
      <c r="A1312" s="21" t="inlineStr">
        <is>
          <t>21115</t>
        </is>
      </c>
      <c r="B1312" s="22" t="inlineStr">
        <is>
          <t>KALINA</t>
        </is>
      </c>
      <c r="C1312" s="21" t="inlineStr">
        <is>
          <t>4600702095890</t>
        </is>
      </c>
      <c r="D1312" s="22" t="inlineStr">
        <is>
          <t>Krem KARE dlya ruk 70ml</t>
        </is>
      </c>
      <c r="E1312" s="23" t="n">
        <v>2.2</v>
      </c>
      <c r="F1312" s="23" t="n">
        <v>20</v>
      </c>
      <c r="G1312" s="23" t="n">
        <v>63</v>
      </c>
      <c r="H1312" s="23" t="n"/>
      <c r="I1312" s="23" t="n"/>
      <c r="J1312" s="23" t="n"/>
      <c r="K1312" s="19">
        <f>H1312+I1312+J1312</f>
        <v/>
      </c>
      <c r="L1312" s="19">
        <f>K1312-G1312</f>
        <v/>
      </c>
      <c r="M1312" s="20">
        <f>L1312*E1312</f>
        <v/>
      </c>
      <c r="N1312" s="20" t="n">
        <v>50</v>
      </c>
      <c r="O1312" s="20" t="n"/>
      <c r="P1312" s="20">
        <f>O1312-N1312</f>
        <v/>
      </c>
      <c r="Q1312" s="20">
        <f>P1312*E1312</f>
        <v/>
      </c>
      <c r="R1312" s="20" t="n"/>
    </row>
    <row r="1313" ht="20" customHeight="1" s="1">
      <c r="A1313" s="16" t="inlineStr">
        <is>
          <t>20147</t>
        </is>
      </c>
      <c r="B1313" s="17" t="inlineStr">
        <is>
          <t>KALINA</t>
        </is>
      </c>
      <c r="C1313" s="16" t="inlineStr">
        <is>
          <t>4600702095791</t>
        </is>
      </c>
      <c r="D1313" s="17" t="inlineStr">
        <is>
          <t>Krem DETSKIY  45 ml</t>
        </is>
      </c>
      <c r="E1313" s="18" t="n">
        <v>2.4</v>
      </c>
      <c r="F1313" s="18" t="n">
        <v>35</v>
      </c>
      <c r="G1313" s="18" t="n">
        <v>139</v>
      </c>
      <c r="H1313" s="18" t="n"/>
      <c r="I1313" s="18" t="n"/>
      <c r="J1313" s="18" t="n"/>
      <c r="K1313" s="19">
        <f>H1313+I1313+J1313</f>
        <v/>
      </c>
      <c r="L1313" s="19">
        <f>K1313-G1313</f>
        <v/>
      </c>
      <c r="M1313" s="20">
        <f>L1313*E1313</f>
        <v/>
      </c>
      <c r="N1313" s="20" t="n">
        <v>50</v>
      </c>
      <c r="O1313" s="20" t="n"/>
      <c r="P1313" s="20">
        <f>O1313-N1313</f>
        <v/>
      </c>
      <c r="Q1313" s="20">
        <f>P1313*E1313</f>
        <v/>
      </c>
      <c r="R1313" s="20" t="n"/>
    </row>
    <row r="1314" ht="20" customHeight="1" s="1">
      <c r="A1314" s="21" t="inlineStr">
        <is>
          <t>20134</t>
        </is>
      </c>
      <c r="B1314" s="22" t="inlineStr">
        <is>
          <t>KALINA</t>
        </is>
      </c>
      <c r="C1314" s="21" t="inlineStr">
        <is>
          <t>4600702026009</t>
        </is>
      </c>
      <c r="D1314" s="22" t="inlineStr">
        <is>
          <t>Kr.Barxat/Rucki komp d/ruk i noqtey 80 ml</t>
        </is>
      </c>
      <c r="E1314" s="23" t="n">
        <v>3.3</v>
      </c>
      <c r="F1314" s="23" t="n">
        <v>20</v>
      </c>
      <c r="G1314" s="23" t="n">
        <v>97</v>
      </c>
      <c r="H1314" s="23" t="n"/>
      <c r="I1314" s="23" t="n"/>
      <c r="J1314" s="23" t="n"/>
      <c r="K1314" s="19">
        <f>H1314+I1314+J1314</f>
        <v/>
      </c>
      <c r="L1314" s="19">
        <f>K1314-G1314</f>
        <v/>
      </c>
      <c r="M1314" s="20">
        <f>L1314*E1314</f>
        <v/>
      </c>
      <c r="N1314" s="20" t="n">
        <v>50</v>
      </c>
      <c r="O1314" s="20" t="n"/>
      <c r="P1314" s="20">
        <f>O1314-N1314</f>
        <v/>
      </c>
      <c r="Q1314" s="20">
        <f>P1314*E1314</f>
        <v/>
      </c>
      <c r="R1314" s="20" t="n"/>
    </row>
    <row r="1315" ht="20" customHeight="1" s="1">
      <c r="A1315" s="16" t="inlineStr">
        <is>
          <t>20135</t>
        </is>
      </c>
      <c r="B1315" s="17" t="inlineStr">
        <is>
          <t>KALINA</t>
        </is>
      </c>
      <c r="C1315" s="16" t="inlineStr">
        <is>
          <t>4600702025972</t>
        </is>
      </c>
      <c r="D1315" s="17" t="inlineStr">
        <is>
          <t>Kr.Barxat/Rucki pitat (top 20) 80 ml</t>
        </is>
      </c>
      <c r="E1315" s="18" t="n">
        <v>3.3</v>
      </c>
      <c r="F1315" s="18" t="n">
        <v>20</v>
      </c>
      <c r="G1315" s="18" t="n">
        <v>74</v>
      </c>
      <c r="H1315" s="18" t="n"/>
      <c r="I1315" s="18" t="n"/>
      <c r="J1315" s="18" t="n"/>
      <c r="K1315" s="19">
        <f>H1315+I1315+J1315</f>
        <v/>
      </c>
      <c r="L1315" s="19">
        <f>K1315-G1315</f>
        <v/>
      </c>
      <c r="M1315" s="20">
        <f>L1315*E1315</f>
        <v/>
      </c>
      <c r="N1315" s="20" t="n">
        <v>50</v>
      </c>
      <c r="O1315" s="20" t="n"/>
      <c r="P1315" s="20">
        <f>O1315-N1315</f>
        <v/>
      </c>
      <c r="Q1315" s="20">
        <f>P1315*E1315</f>
        <v/>
      </c>
      <c r="R1315" s="20" t="n"/>
    </row>
    <row r="1316" ht="20" customHeight="1" s="1">
      <c r="A1316" s="21" t="inlineStr">
        <is>
          <t>20136</t>
        </is>
      </c>
      <c r="B1316" s="22" t="inlineStr">
        <is>
          <t>KALINA</t>
        </is>
      </c>
      <c r="C1316" s="21" t="inlineStr">
        <is>
          <t>4600702025996</t>
        </is>
      </c>
      <c r="D1316" s="22" t="inlineStr">
        <is>
          <t>Kr.Barxat/Rucki uvlajn. (top 20) 80 ml</t>
        </is>
      </c>
      <c r="E1316" s="23" t="n">
        <v>3.3</v>
      </c>
      <c r="F1316" s="23" t="n">
        <v>20</v>
      </c>
      <c r="G1316" s="23" t="n">
        <v>147</v>
      </c>
      <c r="H1316" s="23" t="n"/>
      <c r="I1316" s="23" t="n"/>
      <c r="J1316" s="23" t="n"/>
      <c r="K1316" s="19">
        <f>H1316+I1316+J1316</f>
        <v/>
      </c>
      <c r="L1316" s="19">
        <f>K1316-G1316</f>
        <v/>
      </c>
      <c r="M1316" s="20">
        <f>L1316*E1316</f>
        <v/>
      </c>
      <c r="N1316" s="20" t="n">
        <v>50</v>
      </c>
      <c r="O1316" s="20" t="n"/>
      <c r="P1316" s="20">
        <f>O1316-N1316</f>
        <v/>
      </c>
      <c r="Q1316" s="20">
        <f>P1316*E1316</f>
        <v/>
      </c>
      <c r="R1316" s="20" t="n"/>
    </row>
    <row r="1317" ht="20" customHeight="1" s="1">
      <c r="A1317" s="16" t="inlineStr">
        <is>
          <t>20137</t>
        </is>
      </c>
      <c r="B1317" s="17" t="inlineStr">
        <is>
          <t>KALINA</t>
        </is>
      </c>
      <c r="C1317" s="16" t="inlineStr">
        <is>
          <t>4600702025989</t>
        </is>
      </c>
      <c r="D1317" s="17" t="inlineStr">
        <is>
          <t>Kr.Barxat/Rucki zasit. 80 ml</t>
        </is>
      </c>
      <c r="E1317" s="18" t="n">
        <v>3.3</v>
      </c>
      <c r="F1317" s="18" t="n">
        <v>20</v>
      </c>
      <c r="G1317" s="18" t="n">
        <v>79</v>
      </c>
      <c r="H1317" s="18" t="n"/>
      <c r="I1317" s="18" t="n"/>
      <c r="J1317" s="18" t="n"/>
      <c r="K1317" s="19">
        <f>H1317+I1317+J1317</f>
        <v/>
      </c>
      <c r="L1317" s="19">
        <f>K1317-G1317</f>
        <v/>
      </c>
      <c r="M1317" s="20">
        <f>L1317*E1317</f>
        <v/>
      </c>
      <c r="N1317" s="20" t="n">
        <v>50</v>
      </c>
      <c r="O1317" s="20" t="n"/>
      <c r="P1317" s="20">
        <f>O1317-N1317</f>
        <v/>
      </c>
      <c r="Q1317" s="20">
        <f>P1317*E1317</f>
        <v/>
      </c>
      <c r="R1317" s="20" t="n"/>
    </row>
    <row r="1318" ht="20" customHeight="1" s="1">
      <c r="A1318" s="21" t="inlineStr">
        <is>
          <t>20138</t>
        </is>
      </c>
      <c r="B1318" s="22" t="inlineStr">
        <is>
          <t>KALINA</t>
        </is>
      </c>
      <c r="C1318" s="21" t="inlineStr">
        <is>
          <t>4600702088618</t>
        </is>
      </c>
      <c r="D1318" s="22" t="inlineStr">
        <is>
          <t>Kr.Barxat/Rucki d/ruk reqeneriruyusniy 80ml</t>
        </is>
      </c>
      <c r="E1318" s="23" t="n">
        <v>3.3</v>
      </c>
      <c r="F1318" s="23" t="n">
        <v>20</v>
      </c>
      <c r="G1318" s="23" t="n">
        <v>76</v>
      </c>
      <c r="H1318" s="23" t="n"/>
      <c r="I1318" s="23" t="n"/>
      <c r="J1318" s="23" t="n"/>
      <c r="K1318" s="19">
        <f>H1318+I1318+J1318</f>
        <v/>
      </c>
      <c r="L1318" s="19">
        <f>K1318-G1318</f>
        <v/>
      </c>
      <c r="M1318" s="20">
        <f>L1318*E1318</f>
        <v/>
      </c>
      <c r="N1318" s="20" t="n">
        <v>50</v>
      </c>
      <c r="O1318" s="20" t="n"/>
      <c r="P1318" s="20">
        <f>O1318-N1318</f>
        <v/>
      </c>
      <c r="Q1318" s="20">
        <f>P1318*E1318</f>
        <v/>
      </c>
      <c r="R1318" s="20" t="n"/>
    </row>
    <row r="1319" ht="20" customHeight="1" s="1">
      <c r="A1319" s="16" t="inlineStr">
        <is>
          <t>20139</t>
        </is>
      </c>
      <c r="B1319" s="17" t="inlineStr">
        <is>
          <t>KALINA</t>
        </is>
      </c>
      <c r="C1319" s="16" t="inlineStr">
        <is>
          <t>4600702086874</t>
        </is>
      </c>
      <c r="D1319" s="17" t="inlineStr">
        <is>
          <t>Krem Barxat/Rucki Korolev.Arqana d/ruk 80ml</t>
        </is>
      </c>
      <c r="E1319" s="18" t="n">
        <v>3.7</v>
      </c>
      <c r="F1319" s="18" t="n">
        <v>20</v>
      </c>
      <c r="G1319" s="18" t="n">
        <v>80</v>
      </c>
      <c r="H1319" s="18" t="n"/>
      <c r="I1319" s="18" t="n"/>
      <c r="J1319" s="18" t="n"/>
      <c r="K1319" s="19">
        <f>H1319+I1319+J1319</f>
        <v/>
      </c>
      <c r="L1319" s="19">
        <f>K1319-G1319</f>
        <v/>
      </c>
      <c r="M1319" s="20">
        <f>L1319*E1319</f>
        <v/>
      </c>
      <c r="N1319" s="20" t="n">
        <v>50</v>
      </c>
      <c r="O1319" s="20" t="n"/>
      <c r="P1319" s="20">
        <f>O1319-N1319</f>
        <v/>
      </c>
      <c r="Q1319" s="20">
        <f>P1319*E1319</f>
        <v/>
      </c>
      <c r="R1319" s="20" t="n"/>
    </row>
    <row r="1320" ht="20" customHeight="1" s="1">
      <c r="A1320" s="21" t="inlineStr">
        <is>
          <t>20140</t>
        </is>
      </c>
      <c r="B1320" s="22" t="inlineStr">
        <is>
          <t>KALINA</t>
        </is>
      </c>
      <c r="C1320" s="21" t="inlineStr">
        <is>
          <t>4600702066425</t>
        </is>
      </c>
      <c r="D1320" s="22" t="inlineStr">
        <is>
          <t>Kr.Barxat/Rucki smyaqcayusiy d/ruk 80 ml</t>
        </is>
      </c>
      <c r="E1320" s="23" t="n">
        <v>3.3</v>
      </c>
      <c r="F1320" s="23" t="n">
        <v>20</v>
      </c>
      <c r="G1320" s="23" t="n">
        <v>20</v>
      </c>
      <c r="H1320" s="23" t="n"/>
      <c r="I1320" s="23" t="n"/>
      <c r="J1320" s="23" t="n"/>
      <c r="K1320" s="19">
        <f>H1320+I1320+J1320</f>
        <v/>
      </c>
      <c r="L1320" s="19">
        <f>K1320-G1320</f>
        <v/>
      </c>
      <c r="M1320" s="20">
        <f>L1320*E1320</f>
        <v/>
      </c>
      <c r="N1320" s="20" t="n">
        <v>50</v>
      </c>
      <c r="O1320" s="20" t="n"/>
      <c r="P1320" s="20">
        <f>O1320-N1320</f>
        <v/>
      </c>
      <c r="Q1320" s="20">
        <f>P1320*E1320</f>
        <v/>
      </c>
      <c r="R1320" s="20" t="n"/>
    </row>
    <row r="1321" ht="20" customHeight="1" s="1">
      <c r="A1321" s="16" t="inlineStr">
        <is>
          <t>20141</t>
        </is>
      </c>
      <c r="B1321" s="17" t="inlineStr">
        <is>
          <t>KALINA</t>
        </is>
      </c>
      <c r="C1321" s="16" t="inlineStr">
        <is>
          <t>4600702091748</t>
        </is>
      </c>
      <c r="D1321" s="17" t="inlineStr">
        <is>
          <t>Krem Barxat/Rucki dlya/ruk makadami 80ml</t>
        </is>
      </c>
      <c r="E1321" s="18" t="n">
        <v>3.7</v>
      </c>
      <c r="F1321" s="18" t="n">
        <v>20</v>
      </c>
      <c r="G1321" s="18" t="n">
        <v>42</v>
      </c>
      <c r="H1321" s="18" t="n"/>
      <c r="I1321" s="18" t="n"/>
      <c r="J1321" s="18" t="n"/>
      <c r="K1321" s="19">
        <f>H1321+I1321+J1321</f>
        <v/>
      </c>
      <c r="L1321" s="19">
        <f>K1321-G1321</f>
        <v/>
      </c>
      <c r="M1321" s="20">
        <f>L1321*E1321</f>
        <v/>
      </c>
      <c r="N1321" s="20" t="n">
        <v>50</v>
      </c>
      <c r="O1321" s="20" t="n"/>
      <c r="P1321" s="20">
        <f>O1321-N1321</f>
        <v/>
      </c>
      <c r="Q1321" s="20">
        <f>P1321*E1321</f>
        <v/>
      </c>
      <c r="R1321" s="20" t="n"/>
    </row>
    <row r="1322" ht="20" customHeight="1" s="1">
      <c r="A1322" s="21" t="inlineStr">
        <is>
          <t>20142</t>
        </is>
      </c>
      <c r="B1322" s="22" t="inlineStr">
        <is>
          <t>KALINA</t>
        </is>
      </c>
      <c r="C1322" s="21" t="inlineStr">
        <is>
          <t>4600702035438</t>
        </is>
      </c>
      <c r="D1322" s="22" t="inlineStr">
        <is>
          <t>Kr.Bar/Ruc nocnoy dlya ruk 80ml</t>
        </is>
      </c>
      <c r="E1322" s="23" t="n">
        <v>3.3</v>
      </c>
      <c r="F1322" s="23" t="n">
        <v>20</v>
      </c>
      <c r="G1322" s="23" t="n">
        <v>31</v>
      </c>
      <c r="H1322" s="23" t="n"/>
      <c r="I1322" s="23" t="n"/>
      <c r="J1322" s="23" t="n"/>
      <c r="K1322" s="19">
        <f>H1322+I1322+J1322</f>
        <v/>
      </c>
      <c r="L1322" s="19">
        <f>K1322-G1322</f>
        <v/>
      </c>
      <c r="M1322" s="20">
        <f>L1322*E1322</f>
        <v/>
      </c>
      <c r="N1322" s="20" t="n">
        <v>50</v>
      </c>
      <c r="O1322" s="20" t="n"/>
      <c r="P1322" s="20">
        <f>O1322-N1322</f>
        <v/>
      </c>
      <c r="Q1322" s="20">
        <f>P1322*E1322</f>
        <v/>
      </c>
      <c r="R1322" s="20" t="n"/>
    </row>
    <row r="1323" ht="20" customHeight="1" s="1">
      <c r="A1323" s="16" t="inlineStr">
        <is>
          <t>20143</t>
        </is>
      </c>
      <c r="B1323" s="17" t="inlineStr">
        <is>
          <t>KALINA</t>
        </is>
      </c>
      <c r="C1323" s="16" t="inlineStr">
        <is>
          <t>4600702037845</t>
        </is>
      </c>
      <c r="D1323" s="17" t="inlineStr">
        <is>
          <t>kr.B/R intensiv molodost 80 ml</t>
        </is>
      </c>
      <c r="E1323" s="18" t="n">
        <v>4.2</v>
      </c>
      <c r="F1323" s="18" t="n">
        <v>20</v>
      </c>
      <c r="G1323" s="18" t="n">
        <v>1</v>
      </c>
      <c r="H1323" s="18" t="n"/>
      <c r="I1323" s="18" t="n"/>
      <c r="J1323" s="18" t="n"/>
      <c r="K1323" s="19" t="n"/>
      <c r="L1323" s="19" t="n"/>
      <c r="M1323" s="20" t="n"/>
      <c r="N1323" s="20" t="n">
        <v>50</v>
      </c>
      <c r="O1323" s="20" t="n"/>
      <c r="P1323" s="20">
        <f>O1323-N1323</f>
        <v/>
      </c>
      <c r="Q1323" s="20">
        <f>P1323*E1323</f>
        <v/>
      </c>
      <c r="R1323" s="20" t="n"/>
    </row>
    <row r="1324" ht="20" customHeight="1" s="1">
      <c r="A1324" s="21" t="inlineStr">
        <is>
          <t>22210</t>
        </is>
      </c>
      <c r="B1324" s="22" t="inlineStr">
        <is>
          <t>KALINA</t>
        </is>
      </c>
      <c r="C1324" s="21" t="inlineStr">
        <is>
          <t>4605922032076</t>
        </is>
      </c>
      <c r="D1324" s="22" t="inlineStr">
        <is>
          <t>B/R Krem dlya ruk pitanie 80ml</t>
        </is>
      </c>
      <c r="E1324" s="23" t="n">
        <v>3.3</v>
      </c>
      <c r="F1324" s="23" t="n">
        <v>20</v>
      </c>
      <c r="G1324" s="23" t="n">
        <v>20</v>
      </c>
      <c r="H1324" s="23" t="n"/>
      <c r="I1324" s="23" t="n"/>
      <c r="J1324" s="23" t="n"/>
      <c r="K1324" s="19">
        <f>H1324+I1324+J1324</f>
        <v/>
      </c>
      <c r="L1324" s="19">
        <f>K1324-G1324</f>
        <v/>
      </c>
      <c r="M1324" s="20">
        <f>L1324*E1324</f>
        <v/>
      </c>
      <c r="N1324" s="20" t="n">
        <v>50</v>
      </c>
      <c r="O1324" s="20" t="n"/>
      <c r="P1324" s="20">
        <f>O1324-N1324</f>
        <v/>
      </c>
      <c r="Q1324" s="20">
        <f>P1324*E1324</f>
        <v/>
      </c>
      <c r="R1324" s="20" t="n"/>
    </row>
    <row r="1325" ht="20" customHeight="1" s="1">
      <c r="A1325" s="16" t="inlineStr">
        <is>
          <t>22211</t>
        </is>
      </c>
      <c r="B1325" s="17" t="inlineStr">
        <is>
          <t>KALINA</t>
        </is>
      </c>
      <c r="C1325" s="16" t="inlineStr">
        <is>
          <t>4605922032083</t>
        </is>
      </c>
      <c r="D1325" s="17" t="inlineStr">
        <is>
          <t>B/R Krem dlya ruk-fluid dlya ruk uvlajnenie 80ml</t>
        </is>
      </c>
      <c r="E1325" s="18" t="n">
        <v>3.3</v>
      </c>
      <c r="F1325" s="18" t="n">
        <v>20</v>
      </c>
      <c r="G1325" s="18" t="n">
        <v>18</v>
      </c>
      <c r="H1325" s="18" t="n"/>
      <c r="I1325" s="18" t="n"/>
      <c r="J1325" s="18" t="n"/>
      <c r="K1325" s="19">
        <f>H1325+I1325+J1325</f>
        <v/>
      </c>
      <c r="L1325" s="19">
        <f>K1325-G1325</f>
        <v/>
      </c>
      <c r="M1325" s="20">
        <f>L1325*E1325</f>
        <v/>
      </c>
      <c r="N1325" s="20" t="n">
        <v>50</v>
      </c>
      <c r="O1325" s="20" t="n"/>
      <c r="P1325" s="20">
        <f>O1325-N1325</f>
        <v/>
      </c>
      <c r="Q1325" s="20">
        <f>P1325*E1325</f>
        <v/>
      </c>
      <c r="R1325" s="20" t="n"/>
    </row>
    <row r="1326" ht="20" customHeight="1" s="1">
      <c r="A1326" s="21" t="inlineStr">
        <is>
          <t>20144</t>
        </is>
      </c>
      <c r="B1326" s="22" t="inlineStr">
        <is>
          <t>KALINA</t>
        </is>
      </c>
      <c r="C1326" s="21" t="inlineStr">
        <is>
          <t>8714100846940</t>
        </is>
      </c>
      <c r="D1326" s="22" t="inlineStr">
        <is>
          <t>Krem d/ruk Barxat/Rucki Bez Zapaxa 72ml</t>
        </is>
      </c>
      <c r="E1326" s="23" t="n">
        <v>3.3</v>
      </c>
      <c r="F1326" s="23" t="n">
        <v>20</v>
      </c>
      <c r="G1326" s="23" t="n">
        <v>69</v>
      </c>
      <c r="H1326" s="23" t="n"/>
      <c r="I1326" s="23" t="n"/>
      <c r="J1326" s="23" t="n"/>
      <c r="K1326" s="19">
        <f>H1326+I1326+J1326</f>
        <v/>
      </c>
      <c r="L1326" s="19">
        <f>K1326-G1326</f>
        <v/>
      </c>
      <c r="M1326" s="20">
        <f>L1326*E1326</f>
        <v/>
      </c>
      <c r="N1326" s="20" t="n">
        <v>50</v>
      </c>
      <c r="O1326" s="20" t="n"/>
      <c r="P1326" s="20">
        <f>O1326-N1326</f>
        <v/>
      </c>
      <c r="Q1326" s="20">
        <f>P1326*E1326</f>
        <v/>
      </c>
      <c r="R1326" s="20" t="n"/>
    </row>
    <row r="1327" ht="20" customHeight="1" s="1">
      <c r="A1327" s="16" t="inlineStr">
        <is>
          <t>22212</t>
        </is>
      </c>
      <c r="B1327" s="17" t="inlineStr">
        <is>
          <t>KALINA</t>
        </is>
      </c>
      <c r="C1327" s="16" t="inlineStr">
        <is>
          <t>8714100703670</t>
        </is>
      </c>
      <c r="D1327" s="17" t="inlineStr">
        <is>
          <t>B/R Krem dlya ruk dlya ruk osnavnoy uxod 45ml</t>
        </is>
      </c>
      <c r="E1327" s="18" t="n">
        <v>2.2</v>
      </c>
      <c r="F1327" s="18" t="n">
        <v>30</v>
      </c>
      <c r="G1327" s="18" t="n">
        <v>26</v>
      </c>
      <c r="H1327" s="18" t="n"/>
      <c r="I1327" s="18" t="n"/>
      <c r="J1327" s="18" t="n"/>
      <c r="K1327" s="19">
        <f>H1327+I1327+J1327</f>
        <v/>
      </c>
      <c r="L1327" s="19">
        <f>K1327-G1327</f>
        <v/>
      </c>
      <c r="M1327" s="20">
        <f>L1327*E1327</f>
        <v/>
      </c>
      <c r="N1327" s="20" t="n">
        <v>50</v>
      </c>
      <c r="O1327" s="20" t="n"/>
      <c r="P1327" s="20">
        <f>O1327-N1327</f>
        <v/>
      </c>
      <c r="Q1327" s="20">
        <f>P1327*E1327</f>
        <v/>
      </c>
      <c r="R1327" s="20" t="n"/>
    </row>
    <row r="1328" ht="20" customHeight="1" s="1">
      <c r="A1328" s="21" t="inlineStr">
        <is>
          <t>22208</t>
        </is>
      </c>
      <c r="B1328" s="22" t="inlineStr">
        <is>
          <t>KALINA</t>
        </is>
      </c>
      <c r="C1328" s="21" t="inlineStr">
        <is>
          <t>8714100710456</t>
        </is>
      </c>
      <c r="D1328" s="22" t="inlineStr">
        <is>
          <t>B/R Krem dlya ruk-balzam dlya ruk sos-vosstanovlenie 45ml</t>
        </is>
      </c>
      <c r="E1328" s="23" t="n">
        <v>3.15</v>
      </c>
      <c r="F1328" s="23" t="n">
        <v>12</v>
      </c>
      <c r="G1328" s="23" t="n">
        <v>8</v>
      </c>
      <c r="H1328" s="23" t="n"/>
      <c r="I1328" s="23" t="n"/>
      <c r="J1328" s="23" t="n"/>
      <c r="K1328" s="19" t="n"/>
      <c r="L1328" s="19" t="n"/>
      <c r="M1328" s="20" t="n"/>
      <c r="N1328" s="20" t="n">
        <v>50</v>
      </c>
      <c r="O1328" s="20" t="n"/>
      <c r="P1328" s="20">
        <f>O1328-N1328</f>
        <v/>
      </c>
      <c r="Q1328" s="20">
        <f>P1328*E1328</f>
        <v/>
      </c>
      <c r="R1328" s="20" t="n"/>
    </row>
    <row r="1329" ht="20" customHeight="1" s="1">
      <c r="A1329" s="16" t="inlineStr">
        <is>
          <t>20145</t>
        </is>
      </c>
      <c r="B1329" s="17" t="inlineStr">
        <is>
          <t>KALINA</t>
        </is>
      </c>
      <c r="C1329" s="16" t="inlineStr">
        <is>
          <t>8714100817193</t>
        </is>
      </c>
      <c r="D1329" s="17" t="inlineStr">
        <is>
          <t>Kr d/ruk lica i tel B/R Unversal d/vsey semi 150ml</t>
        </is>
      </c>
      <c r="E1329" s="18" t="n">
        <v>7.2</v>
      </c>
      <c r="F1329" s="18" t="n">
        <v>12</v>
      </c>
      <c r="G1329" s="18" t="n">
        <v>50</v>
      </c>
      <c r="H1329" s="18" t="n"/>
      <c r="I1329" s="18" t="n"/>
      <c r="J1329" s="18" t="n"/>
      <c r="K1329" s="19">
        <f>H1329+I1329+J1329</f>
        <v/>
      </c>
      <c r="L1329" s="19">
        <f>K1329-G1329</f>
        <v/>
      </c>
      <c r="M1329" s="20">
        <f>L1329*E1329</f>
        <v/>
      </c>
      <c r="N1329" s="20" t="n">
        <v>50</v>
      </c>
      <c r="O1329" s="20" t="n"/>
      <c r="P1329" s="20">
        <f>O1329-N1329</f>
        <v/>
      </c>
      <c r="Q1329" s="20">
        <f>P1329*E1329</f>
        <v/>
      </c>
      <c r="R1329" s="20" t="n"/>
    </row>
    <row r="1330" ht="20" customHeight="1" s="1">
      <c r="A1330" s="21" t="inlineStr">
        <is>
          <t>21114</t>
        </is>
      </c>
      <c r="B1330" s="22" t="inlineStr">
        <is>
          <t>KALINA</t>
        </is>
      </c>
      <c r="C1330" s="21" t="inlineStr">
        <is>
          <t>8720633007673</t>
        </is>
      </c>
      <c r="D1330" s="22" t="inlineStr">
        <is>
          <t>Kr d/lica ruk i tel B/R Unvers pitan i uvlaj 200ml</t>
        </is>
      </c>
      <c r="E1330" s="23" t="n">
        <v>4.8</v>
      </c>
      <c r="F1330" s="23" t="n">
        <v>8</v>
      </c>
      <c r="G1330" s="23" t="n">
        <v>1</v>
      </c>
      <c r="H1330" s="23" t="n"/>
      <c r="I1330" s="23" t="n"/>
      <c r="J1330" s="23" t="n"/>
      <c r="K1330" s="19" t="n"/>
      <c r="L1330" s="19" t="n"/>
      <c r="M1330" s="20" t="n"/>
      <c r="N1330" s="20" t="n">
        <v>50</v>
      </c>
      <c r="O1330" s="20" t="n"/>
      <c r="P1330" s="20">
        <f>O1330-N1330</f>
        <v/>
      </c>
      <c r="Q1330" s="20">
        <f>P1330*E1330</f>
        <v/>
      </c>
      <c r="R1330" s="20" t="n"/>
    </row>
    <row r="1331" ht="20" customHeight="1" s="1">
      <c r="A1331" s="16" t="inlineStr">
        <is>
          <t>20265</t>
        </is>
      </c>
      <c r="B1331" s="17" t="inlineStr">
        <is>
          <t>KALINA</t>
        </is>
      </c>
      <c r="C1331" s="16" t="inlineStr">
        <is>
          <t>8714100708408</t>
        </is>
      </c>
      <c r="D1331" s="17" t="inlineStr">
        <is>
          <t>Kr.Barxat/Rucki d/ruk Vsey Semie 200 ml</t>
        </is>
      </c>
      <c r="E1331" s="18" t="n">
        <v>5.5</v>
      </c>
      <c r="F1331" s="18" t="n">
        <v>8</v>
      </c>
      <c r="G1331" s="18" t="n">
        <v>35</v>
      </c>
      <c r="H1331" s="18" t="n"/>
      <c r="I1331" s="18" t="n"/>
      <c r="J1331" s="18" t="n"/>
      <c r="K1331" s="19">
        <f>H1331+I1331+J1331</f>
        <v/>
      </c>
      <c r="L1331" s="19">
        <f>K1331-G1331</f>
        <v/>
      </c>
      <c r="M1331" s="20">
        <f>L1331*E1331</f>
        <v/>
      </c>
      <c r="N1331" s="20" t="n">
        <v>50</v>
      </c>
      <c r="O1331" s="20" t="n"/>
      <c r="P1331" s="20">
        <f>O1331-N1331</f>
        <v/>
      </c>
      <c r="Q1331" s="20">
        <f>P1331*E1331</f>
        <v/>
      </c>
      <c r="R1331" s="20" t="n"/>
    </row>
    <row r="1332" ht="20" customHeight="1" s="1">
      <c r="A1332" s="21" t="inlineStr">
        <is>
          <t>21113</t>
        </is>
      </c>
      <c r="B1332" s="22" t="inlineStr">
        <is>
          <t>KALINA</t>
        </is>
      </c>
      <c r="C1332" s="21" t="inlineStr">
        <is>
          <t>8720633012059</t>
        </is>
      </c>
      <c r="D1332" s="22" t="inlineStr">
        <is>
          <t>Kr d/lica ruk i tel B/R Unversal d/vsey semi 430ml</t>
        </is>
      </c>
      <c r="E1332" s="23" t="n">
        <v>7.8</v>
      </c>
      <c r="F1332" s="23" t="n">
        <v>6</v>
      </c>
      <c r="G1332" s="23" t="n">
        <v>9</v>
      </c>
      <c r="H1332" s="23" t="n"/>
      <c r="I1332" s="23" t="n"/>
      <c r="J1332" s="23" t="n"/>
      <c r="K1332" s="19">
        <f>H1332+I1332+J1332</f>
        <v/>
      </c>
      <c r="L1332" s="19">
        <f>K1332-G1332</f>
        <v/>
      </c>
      <c r="M1332" s="20">
        <f>L1332*E1332</f>
        <v/>
      </c>
      <c r="N1332" s="20" t="n">
        <v>50</v>
      </c>
      <c r="O1332" s="20" t="n"/>
      <c r="P1332" s="20">
        <f>O1332-N1332</f>
        <v/>
      </c>
      <c r="Q1332" s="20">
        <f>P1332*E1332</f>
        <v/>
      </c>
      <c r="R1332" s="20" t="n"/>
    </row>
    <row r="1333" ht="20" customHeight="1" s="1">
      <c r="A1333" s="16" t="inlineStr">
        <is>
          <t>20146</t>
        </is>
      </c>
      <c r="B1333" s="17" t="inlineStr">
        <is>
          <t>KALINA</t>
        </is>
      </c>
      <c r="C1333" s="16" t="inlineStr">
        <is>
          <t>8714100743768</t>
        </is>
      </c>
      <c r="D1333" s="17" t="inlineStr">
        <is>
          <t>Kr d/ruk Barxat/Rucki Manukyur kr-koncentrat 430ml</t>
        </is>
      </c>
      <c r="E1333" s="18" t="n">
        <v>8.800000000000001</v>
      </c>
      <c r="F1333" s="18" t="n">
        <v>6</v>
      </c>
      <c r="G1333" s="18" t="n">
        <v>27</v>
      </c>
      <c r="H1333" s="18" t="n"/>
      <c r="I1333" s="18" t="n"/>
      <c r="J1333" s="18" t="n"/>
      <c r="K1333" s="19">
        <f>H1333+I1333+J1333</f>
        <v/>
      </c>
      <c r="L1333" s="19">
        <f>K1333-G1333</f>
        <v/>
      </c>
      <c r="M1333" s="20">
        <f>L1333*E1333</f>
        <v/>
      </c>
      <c r="N1333" s="20" t="n">
        <v>50</v>
      </c>
      <c r="O1333" s="20" t="n"/>
      <c r="P1333" s="20">
        <f>O1333-N1333</f>
        <v/>
      </c>
      <c r="Q1333" s="20">
        <f>P1333*E1333</f>
        <v/>
      </c>
      <c r="R1333" s="20" t="n"/>
    </row>
    <row r="1334" ht="20" customHeight="1" s="1">
      <c r="A1334" s="21" t="inlineStr">
        <is>
          <t>20830</t>
        </is>
      </c>
      <c r="B1334" s="22" t="inlineStr">
        <is>
          <t>KALINA</t>
        </is>
      </c>
      <c r="C1334" s="21" t="inlineStr">
        <is>
          <t>8714100920664</t>
        </is>
      </c>
      <c r="D1334" s="22" t="inlineStr">
        <is>
          <t>Jitkoe kr-milo B/R Antibakterialniy kompl 500 ml</t>
        </is>
      </c>
      <c r="E1334" s="23" t="n">
        <v>4.2</v>
      </c>
      <c r="F1334" s="23" t="n">
        <v>12</v>
      </c>
      <c r="G1334" s="23" t="n">
        <v>36</v>
      </c>
      <c r="H1334" s="23" t="n"/>
      <c r="I1334" s="23" t="n"/>
      <c r="J1334" s="23" t="n"/>
      <c r="K1334" s="19">
        <f>H1334+I1334+J1334</f>
        <v/>
      </c>
      <c r="L1334" s="19">
        <f>K1334-G1334</f>
        <v/>
      </c>
      <c r="M1334" s="20">
        <f>L1334*E1334</f>
        <v/>
      </c>
      <c r="N1334" s="20" t="n">
        <v>50</v>
      </c>
      <c r="O1334" s="20" t="n"/>
      <c r="P1334" s="20">
        <f>O1334-N1334</f>
        <v/>
      </c>
      <c r="Q1334" s="20">
        <f>P1334*E1334</f>
        <v/>
      </c>
      <c r="R1334" s="20" t="n"/>
    </row>
    <row r="1335" ht="20" customHeight="1" s="1">
      <c r="A1335" s="16" t="inlineStr">
        <is>
          <t>20832</t>
        </is>
      </c>
      <c r="B1335" s="17" t="inlineStr">
        <is>
          <t>KALINA</t>
        </is>
      </c>
      <c r="C1335" s="16" t="inlineStr">
        <is>
          <t>8714100920640</t>
        </is>
      </c>
      <c r="D1335" s="17" t="inlineStr">
        <is>
          <t>Jitkoe kr-milo B/R intensivnoe pitanie 500 ml</t>
        </is>
      </c>
      <c r="E1335" s="18" t="n">
        <v>4.2</v>
      </c>
      <c r="F1335" s="18" t="n">
        <v>6</v>
      </c>
      <c r="G1335" s="18" t="n">
        <v>36</v>
      </c>
      <c r="H1335" s="18" t="n"/>
      <c r="I1335" s="18" t="n"/>
      <c r="J1335" s="18" t="n"/>
      <c r="K1335" s="19">
        <f>H1335+I1335+J1335</f>
        <v/>
      </c>
      <c r="L1335" s="19">
        <f>K1335-G1335</f>
        <v/>
      </c>
      <c r="M1335" s="20">
        <f>L1335*E1335</f>
        <v/>
      </c>
      <c r="N1335" s="20" t="n">
        <v>50</v>
      </c>
      <c r="O1335" s="20" t="n"/>
      <c r="P1335" s="20">
        <f>O1335-N1335</f>
        <v/>
      </c>
      <c r="Q1335" s="20">
        <f>P1335*E1335</f>
        <v/>
      </c>
      <c r="R1335" s="20" t="n"/>
    </row>
    <row r="1336" ht="20" customHeight="1" s="1">
      <c r="A1336" s="21" t="inlineStr">
        <is>
          <t>20831</t>
        </is>
      </c>
      <c r="B1336" s="22" t="inlineStr">
        <is>
          <t>KALINA</t>
        </is>
      </c>
      <c r="C1336" s="21" t="inlineStr">
        <is>
          <t>8714100717035</t>
        </is>
      </c>
      <c r="D1336" s="22" t="inlineStr">
        <is>
          <t>Jitkoe kr-milo B/R Menya i Moey Semie 510ml</t>
        </is>
      </c>
      <c r="E1336" s="23" t="n">
        <v>4.2</v>
      </c>
      <c r="F1336" s="23" t="n">
        <v>6</v>
      </c>
      <c r="G1336" s="23" t="n">
        <v>31</v>
      </c>
      <c r="H1336" s="23" t="n"/>
      <c r="I1336" s="23" t="n"/>
      <c r="J1336" s="23" t="n"/>
      <c r="K1336" s="19">
        <f>H1336+I1336+J1336</f>
        <v/>
      </c>
      <c r="L1336" s="19">
        <f>K1336-G1336</f>
        <v/>
      </c>
      <c r="M1336" s="20">
        <f>L1336*E1336</f>
        <v/>
      </c>
      <c r="N1336" s="20" t="n">
        <v>50</v>
      </c>
      <c r="O1336" s="20" t="n"/>
      <c r="P1336" s="20">
        <f>O1336-N1336</f>
        <v/>
      </c>
      <c r="Q1336" s="20">
        <f>P1336*E1336</f>
        <v/>
      </c>
      <c r="R1336" s="20" t="n"/>
    </row>
    <row r="1337" ht="20" customHeight="1" s="1">
      <c r="A1337" s="16" t="inlineStr">
        <is>
          <t>20827</t>
        </is>
      </c>
      <c r="B1337" s="17" t="inlineStr">
        <is>
          <t>KALINA</t>
        </is>
      </c>
      <c r="C1337" s="16" t="inlineStr">
        <is>
          <t>8714100891513</t>
        </is>
      </c>
      <c r="D1337" s="17" t="inlineStr">
        <is>
          <t>Jitkoe kr-milo B/R Menya i Moey Semie 1000 ml</t>
        </is>
      </c>
      <c r="E1337" s="18" t="n">
        <v>6.5</v>
      </c>
      <c r="F1337" s="18" t="n">
        <v>6</v>
      </c>
      <c r="G1337" s="18" t="n">
        <v>41</v>
      </c>
      <c r="H1337" s="18" t="n"/>
      <c r="I1337" s="18" t="n"/>
      <c r="J1337" s="18" t="n"/>
      <c r="K1337" s="19">
        <f>H1337+I1337+J1337</f>
        <v/>
      </c>
      <c r="L1337" s="19">
        <f>K1337-G1337</f>
        <v/>
      </c>
      <c r="M1337" s="20">
        <f>L1337*E1337</f>
        <v/>
      </c>
      <c r="N1337" s="20" t="n">
        <v>50</v>
      </c>
      <c r="O1337" s="20" t="n"/>
      <c r="P1337" s="20">
        <f>O1337-N1337</f>
        <v/>
      </c>
      <c r="Q1337" s="20">
        <f>P1337*E1337</f>
        <v/>
      </c>
      <c r="R1337" s="20" t="n"/>
    </row>
    <row r="1338" ht="20" customHeight="1" s="1">
      <c r="A1338" s="21" t="inlineStr">
        <is>
          <t>20828</t>
        </is>
      </c>
      <c r="B1338" s="22" t="inlineStr">
        <is>
          <t>KALINA</t>
        </is>
      </c>
      <c r="C1338" s="21" t="inlineStr">
        <is>
          <t>4600702061093</t>
        </is>
      </c>
      <c r="D1338" s="22" t="inlineStr">
        <is>
          <t>Jitkoe kr-milo B/R intensivnoe pitanie 240 ml</t>
        </is>
      </c>
      <c r="E1338" s="23" t="n">
        <v>3.8</v>
      </c>
      <c r="F1338" s="23" t="n">
        <v>8</v>
      </c>
      <c r="G1338" s="23" t="n">
        <v>26</v>
      </c>
      <c r="H1338" s="23" t="n"/>
      <c r="I1338" s="23" t="n"/>
      <c r="J1338" s="23" t="n"/>
      <c r="K1338" s="19">
        <f>H1338+I1338+J1338</f>
        <v/>
      </c>
      <c r="L1338" s="19">
        <f>K1338-G1338</f>
        <v/>
      </c>
      <c r="M1338" s="20">
        <f>L1338*E1338</f>
        <v/>
      </c>
      <c r="N1338" s="20" t="n">
        <v>50</v>
      </c>
      <c r="O1338" s="20" t="n"/>
      <c r="P1338" s="20">
        <f>O1338-N1338</f>
        <v/>
      </c>
      <c r="Q1338" s="20">
        <f>P1338*E1338</f>
        <v/>
      </c>
      <c r="R1338" s="20" t="n"/>
    </row>
    <row r="1339" ht="20" customHeight="1" s="1">
      <c r="A1339" s="16" t="inlineStr">
        <is>
          <t>20829</t>
        </is>
      </c>
      <c r="B1339" s="17" t="inlineStr">
        <is>
          <t>KALINA</t>
        </is>
      </c>
      <c r="C1339" s="16" t="inlineStr">
        <is>
          <t>4600702061062</t>
        </is>
      </c>
      <c r="D1339" s="17" t="inlineStr">
        <is>
          <t>Jitkoe kr-milo B/RAntibakterialniy 240 ml</t>
        </is>
      </c>
      <c r="E1339" s="18" t="n">
        <v>3.8</v>
      </c>
      <c r="F1339" s="18" t="n">
        <v>8</v>
      </c>
      <c r="G1339" s="18" t="n">
        <v>0</v>
      </c>
      <c r="H1339" s="18" t="n"/>
      <c r="I1339" s="18" t="n"/>
      <c r="J1339" s="18" t="n"/>
      <c r="K1339" s="19">
        <f>H1339+I1339+J1339</f>
        <v/>
      </c>
      <c r="L1339" s="19">
        <f>K1339-G1339</f>
        <v/>
      </c>
      <c r="M1339" s="20">
        <f>L1339*E1339</f>
        <v/>
      </c>
      <c r="N1339" s="20" t="n">
        <v>50</v>
      </c>
      <c r="O1339" s="20" t="n"/>
      <c r="P1339" s="20">
        <f>O1339-N1339</f>
        <v/>
      </c>
      <c r="Q1339" s="20">
        <f>P1339*E1339</f>
        <v/>
      </c>
      <c r="R1339" s="20" t="n"/>
    </row>
    <row r="1340" ht="20" customHeight="1" s="1">
      <c r="A1340" s="21" t="inlineStr">
        <is>
          <t>20225</t>
        </is>
      </c>
      <c r="B1340" s="22" t="inlineStr">
        <is>
          <t>KALINA</t>
        </is>
      </c>
      <c r="C1340" s="21" t="inlineStr">
        <is>
          <t>4600702084566</t>
        </is>
      </c>
      <c r="D1340" s="22" t="inlineStr">
        <is>
          <t>Opol.d/p.rta L/B dubia i pixta 400ml</t>
        </is>
      </c>
      <c r="E1340" s="23" t="n">
        <v>6.5</v>
      </c>
      <c r="F1340" s="23" t="n">
        <v>12</v>
      </c>
      <c r="G1340" s="23" t="n">
        <v>15</v>
      </c>
      <c r="H1340" s="23" t="n"/>
      <c r="I1340" s="23" t="n"/>
      <c r="J1340" s="23" t="n"/>
      <c r="K1340" s="19">
        <f>H1340+I1340+J1340</f>
        <v/>
      </c>
      <c r="L1340" s="19">
        <f>K1340-G1340</f>
        <v/>
      </c>
      <c r="M1340" s="20">
        <f>L1340*E1340</f>
        <v/>
      </c>
      <c r="N1340" s="20" t="n">
        <v>50</v>
      </c>
      <c r="O1340" s="20" t="n"/>
      <c r="P1340" s="20">
        <f>O1340-N1340</f>
        <v/>
      </c>
      <c r="Q1340" s="20">
        <f>P1340*E1340</f>
        <v/>
      </c>
      <c r="R1340" s="20" t="n"/>
    </row>
    <row r="1341" ht="20" customHeight="1" s="1">
      <c r="A1341" s="16" t="inlineStr">
        <is>
          <t>20224</t>
        </is>
      </c>
      <c r="B1341" s="17" t="inlineStr">
        <is>
          <t>KALINA</t>
        </is>
      </c>
      <c r="C1341" s="16" t="inlineStr">
        <is>
          <t>4600702083668</t>
        </is>
      </c>
      <c r="D1341" s="17" t="inlineStr">
        <is>
          <t>Opol.d/p rta L/B desen Salfeya 400ml</t>
        </is>
      </c>
      <c r="E1341" s="18" t="n">
        <v>6.5</v>
      </c>
      <c r="F1341" s="18" t="n">
        <v>12</v>
      </c>
      <c r="G1341" s="18" t="n">
        <v>28</v>
      </c>
      <c r="H1341" s="18" t="n"/>
      <c r="I1341" s="18" t="n"/>
      <c r="J1341" s="18" t="n"/>
      <c r="K1341" s="19">
        <f>H1341+I1341+J1341</f>
        <v/>
      </c>
      <c r="L1341" s="19">
        <f>K1341-G1341</f>
        <v/>
      </c>
      <c r="M1341" s="20">
        <f>L1341*E1341</f>
        <v/>
      </c>
      <c r="N1341" s="20" t="n">
        <v>50</v>
      </c>
      <c r="O1341" s="20" t="n"/>
      <c r="P1341" s="20">
        <f>O1341-N1341</f>
        <v/>
      </c>
      <c r="Q1341" s="20">
        <f>P1341*E1341</f>
        <v/>
      </c>
      <c r="R1341" s="20" t="n"/>
    </row>
    <row r="1342" ht="20" customHeight="1" s="1">
      <c r="A1342" s="21" t="inlineStr">
        <is>
          <t>20226</t>
        </is>
      </c>
      <c r="B1342" s="22" t="inlineStr">
        <is>
          <t>KALINA</t>
        </is>
      </c>
      <c r="C1342" s="21" t="inlineStr">
        <is>
          <t>4600702099508</t>
        </is>
      </c>
      <c r="D1342" s="22" t="inlineStr">
        <is>
          <t>Opol. d/desen L/B Prirodnaya svejest 400ml</t>
        </is>
      </c>
      <c r="E1342" s="23" t="n">
        <v>6.5</v>
      </c>
      <c r="F1342" s="23" t="n">
        <v>12</v>
      </c>
      <c r="G1342" s="23" t="n">
        <v>16</v>
      </c>
      <c r="H1342" s="23" t="n"/>
      <c r="I1342" s="23" t="n"/>
      <c r="J1342" s="23" t="n"/>
      <c r="K1342" s="19">
        <f>H1342+I1342+J1342</f>
        <v/>
      </c>
      <c r="L1342" s="19">
        <f>K1342-G1342</f>
        <v/>
      </c>
      <c r="M1342" s="20">
        <f>L1342*E1342</f>
        <v/>
      </c>
      <c r="N1342" s="20" t="n">
        <v>50</v>
      </c>
      <c r="O1342" s="20" t="n"/>
      <c r="P1342" s="20">
        <f>O1342-N1342</f>
        <v/>
      </c>
      <c r="Q1342" s="20">
        <f>P1342*E1342</f>
        <v/>
      </c>
      <c r="R1342" s="20" t="n"/>
    </row>
    <row r="1343" ht="20" customHeight="1" s="1">
      <c r="A1343" s="16" t="inlineStr">
        <is>
          <t>20227</t>
        </is>
      </c>
      <c r="B1343" s="17" t="inlineStr">
        <is>
          <t>KALINA</t>
        </is>
      </c>
      <c r="C1343" s="16" t="inlineStr">
        <is>
          <t>4600702094206</t>
        </is>
      </c>
      <c r="D1343" s="17" t="inlineStr">
        <is>
          <t>Opol.dlya desen L/B Forte 400 ml</t>
        </is>
      </c>
      <c r="E1343" s="18" t="n">
        <v>6.5</v>
      </c>
      <c r="F1343" s="18" t="n">
        <v>12</v>
      </c>
      <c r="G1343" s="18" t="n">
        <v>38</v>
      </c>
      <c r="H1343" s="18" t="n"/>
      <c r="I1343" s="18" t="n"/>
      <c r="J1343" s="18" t="n"/>
      <c r="K1343" s="19">
        <f>H1343+I1343+J1343</f>
        <v/>
      </c>
      <c r="L1343" s="19">
        <f>K1343-G1343</f>
        <v/>
      </c>
      <c r="M1343" s="20">
        <f>L1343*E1343</f>
        <v/>
      </c>
      <c r="N1343" s="20" t="n">
        <v>50</v>
      </c>
      <c r="O1343" s="20" t="n"/>
      <c r="P1343" s="20">
        <f>O1343-N1343</f>
        <v/>
      </c>
      <c r="Q1343" s="20">
        <f>P1343*E1343</f>
        <v/>
      </c>
      <c r="R1343" s="20" t="n"/>
    </row>
    <row r="1344" ht="20" customHeight="1" s="1">
      <c r="A1344" s="21" t="inlineStr">
        <is>
          <t>20228</t>
        </is>
      </c>
      <c r="B1344" s="22" t="inlineStr">
        <is>
          <t>KALINA</t>
        </is>
      </c>
      <c r="C1344" s="21" t="inlineStr">
        <is>
          <t>4605922017455</t>
        </is>
      </c>
      <c r="D1344" s="22" t="inlineStr">
        <is>
          <t>Opol.d/desen L/B Myata les/trav na ot 400 ml</t>
        </is>
      </c>
      <c r="E1344" s="23" t="n">
        <v>6.5</v>
      </c>
      <c r="F1344" s="23" t="n">
        <v>12</v>
      </c>
      <c r="G1344" s="23" t="n">
        <v>97</v>
      </c>
      <c r="H1344" s="23" t="n"/>
      <c r="I1344" s="23" t="n"/>
      <c r="J1344" s="23" t="n"/>
      <c r="K1344" s="19">
        <f>H1344+I1344+J1344</f>
        <v/>
      </c>
      <c r="L1344" s="19">
        <f>K1344-G1344</f>
        <v/>
      </c>
      <c r="M1344" s="20">
        <f>L1344*E1344</f>
        <v/>
      </c>
      <c r="N1344" s="20" t="n">
        <v>50</v>
      </c>
      <c r="O1344" s="20" t="n"/>
      <c r="P1344" s="20">
        <f>O1344-N1344</f>
        <v/>
      </c>
      <c r="Q1344" s="20">
        <f>P1344*E1344</f>
        <v/>
      </c>
      <c r="R1344" s="20" t="n"/>
    </row>
    <row r="1345" ht="20" customHeight="1" s="1">
      <c r="A1345" s="16" t="inlineStr">
        <is>
          <t>20230</t>
        </is>
      </c>
      <c r="B1345" s="17" t="inlineStr">
        <is>
          <t>KALINA</t>
        </is>
      </c>
      <c r="C1345" s="16" t="inlineStr">
        <is>
          <t>8720182993694</t>
        </is>
      </c>
      <c r="D1345" s="17" t="inlineStr">
        <is>
          <t>Opol.d/desen L/B Total komp ekstr Ramaska 400 ml</t>
        </is>
      </c>
      <c r="E1345" s="18" t="n">
        <v>6.5</v>
      </c>
      <c r="F1345" s="18" t="n">
        <v>12</v>
      </c>
      <c r="G1345" s="18" t="n">
        <v>9</v>
      </c>
      <c r="H1345" s="18" t="n"/>
      <c r="I1345" s="18" t="n"/>
      <c r="J1345" s="18" t="n"/>
      <c r="K1345" s="19">
        <f>H1345+I1345+J1345</f>
        <v/>
      </c>
      <c r="L1345" s="19">
        <f>K1345-G1345</f>
        <v/>
      </c>
      <c r="M1345" s="20">
        <f>L1345*E1345</f>
        <v/>
      </c>
      <c r="N1345" s="20" t="n">
        <v>50</v>
      </c>
      <c r="O1345" s="20" t="n"/>
      <c r="P1345" s="20">
        <f>O1345-N1345</f>
        <v/>
      </c>
      <c r="Q1345" s="20">
        <f>P1345*E1345</f>
        <v/>
      </c>
      <c r="R1345" s="20" t="n"/>
    </row>
    <row r="1346" ht="20" customHeight="1" s="1">
      <c r="A1346" s="21" t="inlineStr">
        <is>
          <t>20231</t>
        </is>
      </c>
      <c r="B1346" s="22" t="inlineStr">
        <is>
          <t>KALINA</t>
        </is>
      </c>
      <c r="C1346" s="21" t="inlineStr">
        <is>
          <t>8720182994721</t>
        </is>
      </c>
      <c r="D1346" s="22" t="inlineStr">
        <is>
          <t>Opol.d/desen L/B Total komp ekstr Imbirya 400 ml</t>
        </is>
      </c>
      <c r="E1346" s="23" t="n">
        <v>6.5</v>
      </c>
      <c r="F1346" s="23" t="n">
        <v>12</v>
      </c>
      <c r="G1346" s="23" t="n">
        <v>86</v>
      </c>
      <c r="H1346" s="23" t="n"/>
      <c r="I1346" s="23" t="n"/>
      <c r="J1346" s="23" t="n"/>
      <c r="K1346" s="19">
        <f>H1346+I1346+J1346</f>
        <v/>
      </c>
      <c r="L1346" s="19">
        <f>K1346-G1346</f>
        <v/>
      </c>
      <c r="M1346" s="20">
        <f>L1346*E1346</f>
        <v/>
      </c>
      <c r="N1346" s="20" t="n">
        <v>50</v>
      </c>
      <c r="O1346" s="20" t="n"/>
      <c r="P1346" s="20">
        <f>O1346-N1346</f>
        <v/>
      </c>
      <c r="Q1346" s="20">
        <f>P1346*E1346</f>
        <v/>
      </c>
      <c r="R1346" s="20" t="n"/>
    </row>
    <row r="1347" ht="20" customHeight="1" s="1">
      <c r="A1347" s="16" t="inlineStr">
        <is>
          <t>20270</t>
        </is>
      </c>
      <c r="B1347" s="17" t="inlineStr">
        <is>
          <t>KALINA</t>
        </is>
      </c>
      <c r="C1347" s="16" t="inlineStr">
        <is>
          <t>4600702094138</t>
        </is>
      </c>
      <c r="D1347" s="17" t="inlineStr">
        <is>
          <t>Opol L/B d/cuvstvitelnix zubov i desen 400ml</t>
        </is>
      </c>
      <c r="E1347" s="18" t="n">
        <v>6.5</v>
      </c>
      <c r="F1347" s="18" t="n">
        <v>12</v>
      </c>
      <c r="G1347" s="18" t="n">
        <v>22</v>
      </c>
      <c r="H1347" s="18" t="n"/>
      <c r="I1347" s="18" t="n"/>
      <c r="J1347" s="18" t="n"/>
      <c r="K1347" s="19">
        <f>H1347+I1347+J1347</f>
        <v/>
      </c>
      <c r="L1347" s="19">
        <f>K1347-G1347</f>
        <v/>
      </c>
      <c r="M1347" s="20">
        <f>L1347*E1347</f>
        <v/>
      </c>
      <c r="N1347" s="20" t="n">
        <v>50</v>
      </c>
      <c r="O1347" s="20" t="n"/>
      <c r="P1347" s="20">
        <f>O1347-N1347</f>
        <v/>
      </c>
      <c r="Q1347" s="20">
        <f>P1347*E1347</f>
        <v/>
      </c>
      <c r="R1347" s="20" t="n"/>
    </row>
    <row r="1348" ht="20" customHeight="1" s="1">
      <c r="A1348" s="21" t="inlineStr">
        <is>
          <t>22004</t>
        </is>
      </c>
      <c r="B1348" s="22" t="inlineStr">
        <is>
          <t>KALINA</t>
        </is>
      </c>
      <c r="C1348" s="21" t="inlineStr">
        <is>
          <t>4605922022886</t>
        </is>
      </c>
      <c r="D1348" s="22" t="inlineStr">
        <is>
          <t>L/B Opol.d/p rta antibakteria. c.vkus.bergamot I lipa 400ml</t>
        </is>
      </c>
      <c r="E1348" s="23" t="n">
        <v>6.5</v>
      </c>
      <c r="F1348" s="23" t="n">
        <v>12</v>
      </c>
      <c r="G1348" s="23" t="n">
        <v>4</v>
      </c>
      <c r="H1348" s="23" t="n"/>
      <c r="I1348" s="23" t="n"/>
      <c r="J1348" s="23" t="n"/>
      <c r="K1348" s="19" t="n"/>
      <c r="L1348" s="19" t="n"/>
      <c r="M1348" s="20" t="n"/>
      <c r="N1348" s="20" t="n">
        <v>50</v>
      </c>
      <c r="O1348" s="20" t="n"/>
      <c r="P1348" s="20">
        <f>O1348-N1348</f>
        <v/>
      </c>
      <c r="Q1348" s="20">
        <f>P1348*E1348</f>
        <v/>
      </c>
      <c r="R1348" s="20" t="n"/>
    </row>
    <row r="1349" ht="20" customHeight="1" s="1">
      <c r="A1349" s="16" t="inlineStr">
        <is>
          <t>22005</t>
        </is>
      </c>
      <c r="B1349" s="17" t="inlineStr">
        <is>
          <t>KALINA</t>
        </is>
      </c>
      <c r="C1349" s="16" t="inlineStr">
        <is>
          <t>4605922035879</t>
        </is>
      </c>
      <c r="D1349" s="17" t="inlineStr">
        <is>
          <t>L/B Opol.d/p rta antibakteria. c.vkus.Total Effekt 7v1 400ml</t>
        </is>
      </c>
      <c r="E1349" s="18" t="n">
        <v>6.5</v>
      </c>
      <c r="F1349" s="18" t="n">
        <v>12</v>
      </c>
      <c r="G1349" s="18" t="n">
        <v>16</v>
      </c>
      <c r="H1349" s="18" t="n"/>
      <c r="I1349" s="18" t="n"/>
      <c r="J1349" s="18" t="n"/>
      <c r="K1349" s="19">
        <f>H1349+I1349+J1349</f>
        <v/>
      </c>
      <c r="L1349" s="19">
        <f>K1349-G1349</f>
        <v/>
      </c>
      <c r="M1349" s="20">
        <f>L1349*E1349</f>
        <v/>
      </c>
      <c r="N1349" s="20" t="n">
        <v>50</v>
      </c>
      <c r="O1349" s="20" t="n"/>
      <c r="P1349" s="20">
        <f>O1349-N1349</f>
        <v/>
      </c>
      <c r="Q1349" s="20">
        <f>P1349*E1349</f>
        <v/>
      </c>
      <c r="R1349" s="20" t="n"/>
    </row>
    <row r="1350" ht="20" customHeight="1" s="1">
      <c r="A1350" s="21" t="inlineStr">
        <is>
          <t>22003</t>
        </is>
      </c>
      <c r="B1350" s="22" t="inlineStr">
        <is>
          <t>KALINA</t>
        </is>
      </c>
      <c r="C1350" s="21" t="inlineStr">
        <is>
          <t>4605922022763</t>
        </is>
      </c>
      <c r="D1350" s="22" t="inlineStr">
        <is>
          <t>L/B Opol.d/p rta antibakteria. c.vkus.mandarin laym myata 400ml</t>
        </is>
      </c>
      <c r="E1350" s="23" t="n">
        <v>6.5</v>
      </c>
      <c r="F1350" s="23" t="n">
        <v>12</v>
      </c>
      <c r="G1350" s="23" t="n">
        <v>17</v>
      </c>
      <c r="H1350" s="23" t="n"/>
      <c r="I1350" s="23" t="n"/>
      <c r="J1350" s="23" t="n"/>
      <c r="K1350" s="19">
        <f>H1350+I1350+J1350</f>
        <v/>
      </c>
      <c r="L1350" s="19">
        <f>K1350-G1350</f>
        <v/>
      </c>
      <c r="M1350" s="20">
        <f>L1350*E1350</f>
        <v/>
      </c>
      <c r="N1350" s="20" t="n">
        <v>50</v>
      </c>
      <c r="O1350" s="20" t="n"/>
      <c r="P1350" s="20">
        <f>O1350-N1350</f>
        <v/>
      </c>
      <c r="Q1350" s="20">
        <f>P1350*E1350</f>
        <v/>
      </c>
      <c r="R1350" s="20" t="n"/>
    </row>
    <row r="1351" ht="20" customHeight="1" s="1">
      <c r="A1351" s="16" t="inlineStr">
        <is>
          <t>20229</t>
        </is>
      </c>
      <c r="B1351" s="17" t="inlineStr">
        <is>
          <t>KALINA</t>
        </is>
      </c>
      <c r="C1351" s="16" t="inlineStr">
        <is>
          <t>4605922323495</t>
        </is>
      </c>
      <c r="D1351" s="17" t="inlineStr">
        <is>
          <t>Opol.dlya desen L/B Kompleks zasita 10v1 400 ml</t>
        </is>
      </c>
      <c r="E1351" s="18" t="n">
        <v>6.5</v>
      </c>
      <c r="F1351" s="18" t="n">
        <v>12</v>
      </c>
      <c r="G1351" s="18" t="n">
        <v>0</v>
      </c>
      <c r="H1351" s="18" t="n"/>
      <c r="I1351" s="18" t="n"/>
      <c r="J1351" s="18" t="n"/>
      <c r="K1351" s="19">
        <f>H1351+I1351+J1351</f>
        <v/>
      </c>
      <c r="L1351" s="19">
        <f>K1351-G1351</f>
        <v/>
      </c>
      <c r="M1351" s="20">
        <f>L1351*E1351</f>
        <v/>
      </c>
      <c r="N1351" s="20" t="n">
        <v>50</v>
      </c>
      <c r="O1351" s="20" t="n"/>
      <c r="P1351" s="20">
        <f>O1351-N1351</f>
        <v/>
      </c>
      <c r="Q1351" s="20">
        <f>P1351*E1351</f>
        <v/>
      </c>
      <c r="R1351" s="20" t="n"/>
    </row>
    <row r="1352" ht="20" customHeight="1" s="1">
      <c r="A1352" s="21" t="inlineStr">
        <is>
          <t>20221</t>
        </is>
      </c>
      <c r="B1352" s="22" t="inlineStr">
        <is>
          <t>KALINA</t>
        </is>
      </c>
      <c r="C1352" s="21" t="inlineStr">
        <is>
          <t>4600702057270</t>
        </is>
      </c>
      <c r="D1352" s="22" t="inlineStr">
        <is>
          <t>Opol.d/p rta L/B desen Salfeya 250 ml</t>
        </is>
      </c>
      <c r="E1352" s="23" t="n">
        <v>5.4</v>
      </c>
      <c r="F1352" s="23" t="n">
        <v>12</v>
      </c>
      <c r="G1352" s="23" t="n">
        <v>33</v>
      </c>
      <c r="H1352" s="23" t="n"/>
      <c r="I1352" s="23" t="n"/>
      <c r="J1352" s="23" t="n"/>
      <c r="K1352" s="19">
        <f>H1352+I1352+J1352</f>
        <v/>
      </c>
      <c r="L1352" s="19">
        <f>K1352-G1352</f>
        <v/>
      </c>
      <c r="M1352" s="20">
        <f>L1352*E1352</f>
        <v/>
      </c>
      <c r="N1352" s="20" t="n">
        <v>50</v>
      </c>
      <c r="O1352" s="20" t="n"/>
      <c r="P1352" s="20">
        <f>O1352-N1352</f>
        <v/>
      </c>
      <c r="Q1352" s="20">
        <f>P1352*E1352</f>
        <v/>
      </c>
      <c r="R1352" s="20" t="n"/>
    </row>
    <row r="1353" ht="20" customHeight="1" s="1">
      <c r="A1353" s="16" t="inlineStr">
        <is>
          <t>20222</t>
        </is>
      </c>
      <c r="B1353" s="17" t="inlineStr">
        <is>
          <t>KALINA</t>
        </is>
      </c>
      <c r="C1353" s="16" t="inlineStr">
        <is>
          <t>4600702057256</t>
        </is>
      </c>
      <c r="D1353" s="17" t="inlineStr">
        <is>
          <t>Opol.d/p.rta L/B dubia i pixta 250 ml</t>
        </is>
      </c>
      <c r="E1353" s="18" t="n">
        <v>5.4</v>
      </c>
      <c r="F1353" s="18" t="n">
        <v>12</v>
      </c>
      <c r="G1353" s="18" t="n">
        <v>87</v>
      </c>
      <c r="H1353" s="18" t="n"/>
      <c r="I1353" s="18" t="n"/>
      <c r="J1353" s="18" t="n"/>
      <c r="K1353" s="19">
        <f>H1353+I1353+J1353</f>
        <v/>
      </c>
      <c r="L1353" s="19">
        <f>K1353-G1353</f>
        <v/>
      </c>
      <c r="M1353" s="20">
        <f>L1353*E1353</f>
        <v/>
      </c>
      <c r="N1353" s="20" t="n">
        <v>50</v>
      </c>
      <c r="O1353" s="20" t="n"/>
      <c r="P1353" s="20">
        <f>O1353-N1353</f>
        <v/>
      </c>
      <c r="Q1353" s="20">
        <f>P1353*E1353</f>
        <v/>
      </c>
      <c r="R1353" s="20" t="n"/>
    </row>
    <row r="1354" ht="20" customHeight="1" s="1">
      <c r="A1354" s="21" t="inlineStr">
        <is>
          <t>20223</t>
        </is>
      </c>
      <c r="B1354" s="22" t="inlineStr">
        <is>
          <t>KALINA</t>
        </is>
      </c>
      <c r="C1354" s="21" t="inlineStr">
        <is>
          <t>4600702097092</t>
        </is>
      </c>
      <c r="D1354" s="22" t="inlineStr">
        <is>
          <t>Opol. d/desen L/B Prirodnaya svejest 250ml</t>
        </is>
      </c>
      <c r="E1354" s="23" t="n">
        <v>5.4</v>
      </c>
      <c r="F1354" s="23" t="n">
        <v>12</v>
      </c>
      <c r="G1354" s="23" t="n">
        <v>26</v>
      </c>
      <c r="H1354" s="23" t="n"/>
      <c r="I1354" s="23" t="n"/>
      <c r="J1354" s="23" t="n"/>
      <c r="K1354" s="19">
        <f>H1354+I1354+J1354</f>
        <v/>
      </c>
      <c r="L1354" s="19">
        <f>K1354-G1354</f>
        <v/>
      </c>
      <c r="M1354" s="20">
        <f>L1354*E1354</f>
        <v/>
      </c>
      <c r="N1354" s="20" t="n">
        <v>50</v>
      </c>
      <c r="O1354" s="20" t="n"/>
      <c r="P1354" s="20">
        <f>O1354-N1354</f>
        <v/>
      </c>
      <c r="Q1354" s="20">
        <f>P1354*E1354</f>
        <v/>
      </c>
      <c r="R1354" s="20" t="n"/>
    </row>
    <row r="1355" ht="20" customHeight="1" s="1">
      <c r="A1355" s="16" t="inlineStr">
        <is>
          <t>20213</t>
        </is>
      </c>
      <c r="B1355" s="17" t="inlineStr">
        <is>
          <t>KALINA</t>
        </is>
      </c>
      <c r="C1355" s="16" t="inlineStr">
        <is>
          <t>8720182993656</t>
        </is>
      </c>
      <c r="D1355" s="17" t="inlineStr">
        <is>
          <t>L/B z/p Ukreplen desen koroy duba 150ml</t>
        </is>
      </c>
      <c r="E1355" s="18" t="n">
        <v>4.2</v>
      </c>
      <c r="F1355" s="18" t="n">
        <v>20</v>
      </c>
      <c r="G1355" s="18" t="n">
        <v>77</v>
      </c>
      <c r="H1355" s="18" t="n"/>
      <c r="I1355" s="18" t="n"/>
      <c r="J1355" s="18" t="n"/>
      <c r="K1355" s="19">
        <f>H1355+I1355+J1355</f>
        <v/>
      </c>
      <c r="L1355" s="19">
        <f>K1355-G1355</f>
        <v/>
      </c>
      <c r="M1355" s="20">
        <f>L1355*E1355</f>
        <v/>
      </c>
      <c r="N1355" s="20" t="n">
        <v>50</v>
      </c>
      <c r="O1355" s="20" t="n"/>
      <c r="P1355" s="20">
        <f>O1355-N1355</f>
        <v/>
      </c>
      <c r="Q1355" s="20">
        <f>P1355*E1355</f>
        <v/>
      </c>
      <c r="R1355" s="20" t="n"/>
    </row>
    <row r="1356" ht="20" customHeight="1" s="1">
      <c r="A1356" s="21" t="inlineStr">
        <is>
          <t>20214</t>
        </is>
      </c>
      <c r="B1356" s="22" t="inlineStr">
        <is>
          <t>KALINA</t>
        </is>
      </c>
      <c r="C1356" s="21" t="inlineStr">
        <is>
          <t>8720182993670</t>
        </is>
      </c>
      <c r="D1356" s="22" t="inlineStr">
        <is>
          <t>L/B z/p Total kompl ekstrak  i caem matca 150ml</t>
        </is>
      </c>
      <c r="E1356" s="23" t="n">
        <v>4.2</v>
      </c>
      <c r="F1356" s="23" t="n">
        <v>20</v>
      </c>
      <c r="G1356" s="23" t="n">
        <v>93</v>
      </c>
      <c r="H1356" s="23" t="n"/>
      <c r="I1356" s="23" t="n"/>
      <c r="J1356" s="23" t="n"/>
      <c r="K1356" s="19">
        <f>H1356+I1356+J1356</f>
        <v/>
      </c>
      <c r="L1356" s="19">
        <f>K1356-G1356</f>
        <v/>
      </c>
      <c r="M1356" s="20">
        <f>L1356*E1356</f>
        <v/>
      </c>
      <c r="N1356" s="20" t="n">
        <v>50</v>
      </c>
      <c r="O1356" s="20" t="n"/>
      <c r="P1356" s="20">
        <f>O1356-N1356</f>
        <v/>
      </c>
      <c r="Q1356" s="20">
        <f>P1356*E1356</f>
        <v/>
      </c>
      <c r="R1356" s="20" t="n"/>
    </row>
    <row r="1357" ht="20" customHeight="1" s="1">
      <c r="A1357" s="16" t="inlineStr">
        <is>
          <t>20215</t>
        </is>
      </c>
      <c r="B1357" s="17" t="inlineStr">
        <is>
          <t>KALINA</t>
        </is>
      </c>
      <c r="C1357" s="16" t="inlineStr">
        <is>
          <t>8720182993724</t>
        </is>
      </c>
      <c r="D1357" s="17" t="inlineStr">
        <is>
          <t>L/B z/p Total komp otbelv i sokom limona 150ml</t>
        </is>
      </c>
      <c r="E1357" s="18" t="n">
        <v>4.2</v>
      </c>
      <c r="F1357" s="18" t="n">
        <v>20</v>
      </c>
      <c r="G1357" s="18" t="n">
        <v>59</v>
      </c>
      <c r="H1357" s="18" t="n"/>
      <c r="I1357" s="18" t="n"/>
      <c r="J1357" s="18" t="n"/>
      <c r="K1357" s="19">
        <f>H1357+I1357+J1357</f>
        <v/>
      </c>
      <c r="L1357" s="19">
        <f>K1357-G1357</f>
        <v/>
      </c>
      <c r="M1357" s="20">
        <f>L1357*E1357</f>
        <v/>
      </c>
      <c r="N1357" s="20" t="n">
        <v>50</v>
      </c>
      <c r="O1357" s="20" t="n"/>
      <c r="P1357" s="20">
        <f>O1357-N1357</f>
        <v/>
      </c>
      <c r="Q1357" s="20">
        <f>P1357*E1357</f>
        <v/>
      </c>
      <c r="R1357" s="20" t="n"/>
    </row>
    <row r="1358" ht="20" customHeight="1" s="1">
      <c r="A1358" s="21" t="inlineStr">
        <is>
          <t>20202</t>
        </is>
      </c>
      <c r="B1358" s="22" t="inlineStr">
        <is>
          <t>KALINA</t>
        </is>
      </c>
      <c r="C1358" s="21" t="inlineStr">
        <is>
          <t>4600702068740</t>
        </is>
      </c>
      <c r="D1358" s="22" t="inlineStr">
        <is>
          <t>L/B U /F  Salfey Fitovital  75ml</t>
        </is>
      </c>
      <c r="E1358" s="23" t="n">
        <v>3.3</v>
      </c>
      <c r="F1358" s="23" t="n">
        <v>48</v>
      </c>
      <c r="G1358" s="23" t="n">
        <v>97</v>
      </c>
      <c r="H1358" s="23" t="n"/>
      <c r="I1358" s="23" t="n"/>
      <c r="J1358" s="23" t="n"/>
      <c r="K1358" s="19">
        <f>H1358+I1358+J1358</f>
        <v/>
      </c>
      <c r="L1358" s="19">
        <f>K1358-G1358</f>
        <v/>
      </c>
      <c r="M1358" s="20">
        <f>L1358*E1358</f>
        <v/>
      </c>
      <c r="N1358" s="20" t="n">
        <v>50</v>
      </c>
      <c r="O1358" s="20" t="n"/>
      <c r="P1358" s="20">
        <f>O1358-N1358</f>
        <v/>
      </c>
      <c r="Q1358" s="20">
        <f>P1358*E1358</f>
        <v/>
      </c>
      <c r="R1358" s="20" t="n"/>
    </row>
    <row r="1359" ht="20" customHeight="1" s="1">
      <c r="A1359" s="16" t="inlineStr">
        <is>
          <t>20203</t>
        </is>
      </c>
      <c r="B1359" s="17" t="inlineStr">
        <is>
          <t>KALINA</t>
        </is>
      </c>
      <c r="C1359" s="16" t="inlineStr">
        <is>
          <t>4600702068665</t>
        </is>
      </c>
      <c r="D1359" s="17" t="inlineStr">
        <is>
          <t>L/B U /F  prapalis i zveravoy  75ml</t>
        </is>
      </c>
      <c r="E1359" s="18" t="n">
        <v>3.3</v>
      </c>
      <c r="F1359" s="18" t="n">
        <v>48</v>
      </c>
      <c r="G1359" s="18" t="n">
        <v>126</v>
      </c>
      <c r="H1359" s="18" t="n"/>
      <c r="I1359" s="18" t="n"/>
      <c r="J1359" s="18" t="n"/>
      <c r="K1359" s="19">
        <f>H1359+I1359+J1359</f>
        <v/>
      </c>
      <c r="L1359" s="19">
        <f>K1359-G1359</f>
        <v/>
      </c>
      <c r="M1359" s="20">
        <f>L1359*E1359</f>
        <v/>
      </c>
      <c r="N1359" s="20" t="n">
        <v>50</v>
      </c>
      <c r="O1359" s="20" t="n"/>
      <c r="P1359" s="20">
        <f>O1359-N1359</f>
        <v/>
      </c>
      <c r="Q1359" s="20">
        <f>P1359*E1359</f>
        <v/>
      </c>
      <c r="R1359" s="20" t="n"/>
    </row>
    <row r="1360" ht="20" customHeight="1" s="1">
      <c r="A1360" s="21" t="inlineStr">
        <is>
          <t>20204</t>
        </is>
      </c>
      <c r="B1360" s="22" t="inlineStr">
        <is>
          <t>KALINA</t>
        </is>
      </c>
      <c r="C1360" s="21" t="inlineStr">
        <is>
          <t>8720182995223</t>
        </is>
      </c>
      <c r="D1360" s="22" t="inlineStr">
        <is>
          <t>L/B z/p Total kompl denev myata otvara trav 75ml</t>
        </is>
      </c>
      <c r="E1360" s="23" t="n">
        <v>3.3</v>
      </c>
      <c r="F1360" s="23" t="n">
        <v>48</v>
      </c>
      <c r="G1360" s="23" t="n">
        <v>60</v>
      </c>
      <c r="H1360" s="23" t="n"/>
      <c r="I1360" s="23" t="n"/>
      <c r="J1360" s="23" t="n"/>
      <c r="K1360" s="19">
        <f>H1360+I1360+J1360</f>
        <v/>
      </c>
      <c r="L1360" s="19">
        <f>K1360-G1360</f>
        <v/>
      </c>
      <c r="M1360" s="20">
        <f>L1360*E1360</f>
        <v/>
      </c>
      <c r="N1360" s="20" t="n">
        <v>50</v>
      </c>
      <c r="O1360" s="20" t="n"/>
      <c r="P1360" s="20">
        <f>O1360-N1360</f>
        <v/>
      </c>
      <c r="Q1360" s="20">
        <f>P1360*E1360</f>
        <v/>
      </c>
      <c r="R1360" s="20" t="n"/>
    </row>
    <row r="1361" ht="20" customHeight="1" s="1">
      <c r="A1361" s="16" t="inlineStr">
        <is>
          <t>20205</t>
        </is>
      </c>
      <c r="B1361" s="17" t="inlineStr">
        <is>
          <t>KALINA</t>
        </is>
      </c>
      <c r="C1361" s="16" t="inlineStr">
        <is>
          <t>4600702068726</t>
        </is>
      </c>
      <c r="D1361" s="17" t="inlineStr">
        <is>
          <t>L/B U /F  s koro duba i pixta   75ml (top 20)</t>
        </is>
      </c>
      <c r="E1361" s="18" t="n">
        <v>3.3</v>
      </c>
      <c r="F1361" s="18" t="n">
        <v>48</v>
      </c>
      <c r="G1361" s="18" t="n">
        <v>0</v>
      </c>
      <c r="H1361" s="18" t="n"/>
      <c r="I1361" s="18" t="n"/>
      <c r="J1361" s="18" t="n"/>
      <c r="K1361" s="19">
        <f>H1361+I1361+J1361</f>
        <v/>
      </c>
      <c r="L1361" s="19">
        <f>K1361-G1361</f>
        <v/>
      </c>
      <c r="M1361" s="20">
        <f>L1361*E1361</f>
        <v/>
      </c>
      <c r="N1361" s="20" t="n">
        <v>50</v>
      </c>
      <c r="O1361" s="20" t="n"/>
      <c r="P1361" s="20">
        <f>O1361-N1361</f>
        <v/>
      </c>
      <c r="Q1361" s="20">
        <f>P1361*E1361</f>
        <v/>
      </c>
      <c r="R1361" s="20" t="n"/>
    </row>
    <row r="1362" ht="20" customHeight="1" s="1">
      <c r="A1362" s="21" t="inlineStr">
        <is>
          <t>20206</t>
        </is>
      </c>
      <c r="B1362" s="22" t="inlineStr">
        <is>
          <t>KALINA</t>
        </is>
      </c>
      <c r="C1362" s="21" t="inlineStr">
        <is>
          <t>4600702068627</t>
        </is>
      </c>
      <c r="D1362" s="22" t="inlineStr">
        <is>
          <t>L/B U/F  Ramaska  75ml</t>
        </is>
      </c>
      <c r="E1362" s="23" t="n">
        <v>3.3</v>
      </c>
      <c r="F1362" s="23" t="n">
        <v>48</v>
      </c>
      <c r="G1362" s="23" t="n">
        <v>64</v>
      </c>
      <c r="H1362" s="23" t="n"/>
      <c r="I1362" s="23" t="n"/>
      <c r="J1362" s="23" t="n"/>
      <c r="K1362" s="19">
        <f>H1362+I1362+J1362</f>
        <v/>
      </c>
      <c r="L1362" s="19">
        <f>K1362-G1362</f>
        <v/>
      </c>
      <c r="M1362" s="20">
        <f>L1362*E1362</f>
        <v/>
      </c>
      <c r="N1362" s="20" t="n">
        <v>50</v>
      </c>
      <c r="O1362" s="20" t="n"/>
      <c r="P1362" s="20">
        <f>O1362-N1362</f>
        <v/>
      </c>
      <c r="Q1362" s="20">
        <f>P1362*E1362</f>
        <v/>
      </c>
      <c r="R1362" s="20" t="n"/>
    </row>
    <row r="1363" ht="20" customHeight="1" s="1">
      <c r="A1363" s="16" t="inlineStr">
        <is>
          <t>20207</t>
        </is>
      </c>
      <c r="B1363" s="17" t="inlineStr">
        <is>
          <t>KALINA</t>
        </is>
      </c>
      <c r="C1363" s="16" t="inlineStr">
        <is>
          <t>4600702094213</t>
        </is>
      </c>
      <c r="D1363" s="17" t="inlineStr">
        <is>
          <t>L/B U/F  Forte  75ml</t>
        </is>
      </c>
      <c r="E1363" s="18" t="n">
        <v>4.5</v>
      </c>
      <c r="F1363" s="18" t="n">
        <v>48</v>
      </c>
      <c r="G1363" s="18" t="n">
        <v>25</v>
      </c>
      <c r="H1363" s="18" t="n"/>
      <c r="I1363" s="18" t="n"/>
      <c r="J1363" s="18" t="n"/>
      <c r="K1363" s="19">
        <f>H1363+I1363+J1363</f>
        <v/>
      </c>
      <c r="L1363" s="19">
        <f>K1363-G1363</f>
        <v/>
      </c>
      <c r="M1363" s="20">
        <f>L1363*E1363</f>
        <v/>
      </c>
      <c r="N1363" s="20" t="n">
        <v>50</v>
      </c>
      <c r="O1363" s="20" t="n"/>
      <c r="P1363" s="20">
        <f>O1363-N1363</f>
        <v/>
      </c>
      <c r="Q1363" s="20">
        <f>P1363*E1363</f>
        <v/>
      </c>
      <c r="R1363" s="20" t="n"/>
    </row>
    <row r="1364" ht="20" customHeight="1" s="1">
      <c r="A1364" s="21" t="inlineStr">
        <is>
          <t>20208</t>
        </is>
      </c>
      <c r="B1364" s="22" t="inlineStr">
        <is>
          <t>KALINA</t>
        </is>
      </c>
      <c r="C1364" s="21" t="inlineStr">
        <is>
          <t>4600702094145</t>
        </is>
      </c>
      <c r="D1364" s="22" t="inlineStr">
        <is>
          <t>L/B U /F d/cuvstvitelnix zubov i desen 75ml</t>
        </is>
      </c>
      <c r="E1364" s="23" t="n">
        <v>4.5</v>
      </c>
      <c r="F1364" s="23" t="n">
        <v>48</v>
      </c>
      <c r="G1364" s="23" t="n">
        <v>144</v>
      </c>
      <c r="H1364" s="23" t="n"/>
      <c r="I1364" s="23" t="n"/>
      <c r="J1364" s="23" t="n"/>
      <c r="K1364" s="19">
        <f>H1364+I1364+J1364</f>
        <v/>
      </c>
      <c r="L1364" s="19">
        <f>K1364-G1364</f>
        <v/>
      </c>
      <c r="M1364" s="20">
        <f>L1364*E1364</f>
        <v/>
      </c>
      <c r="N1364" s="20" t="n">
        <v>50</v>
      </c>
      <c r="O1364" s="20" t="n"/>
      <c r="P1364" s="20">
        <f>O1364-N1364</f>
        <v/>
      </c>
      <c r="Q1364" s="20">
        <f>P1364*E1364</f>
        <v/>
      </c>
      <c r="R1364" s="20" t="n"/>
    </row>
    <row r="1365" ht="20" customHeight="1" s="1">
      <c r="A1365" s="16" t="inlineStr">
        <is>
          <t>20393</t>
        </is>
      </c>
      <c r="B1365" s="17" t="inlineStr">
        <is>
          <t>KALINA</t>
        </is>
      </c>
      <c r="C1365" s="16" t="inlineStr">
        <is>
          <t>8714100865347</t>
        </is>
      </c>
      <c r="D1365" s="17" t="inlineStr">
        <is>
          <t>L/B z/p s Orqaniceskimi maslami i Klciem 75ml</t>
        </is>
      </c>
      <c r="E1365" s="18" t="n">
        <v>4</v>
      </c>
      <c r="F1365" s="18" t="n">
        <v>48</v>
      </c>
      <c r="G1365" s="18" t="n">
        <v>58</v>
      </c>
      <c r="H1365" s="18" t="n"/>
      <c r="I1365" s="18" t="n"/>
      <c r="J1365" s="18" t="n"/>
      <c r="K1365" s="19">
        <f>H1365+I1365+J1365</f>
        <v/>
      </c>
      <c r="L1365" s="19">
        <f>K1365-G1365</f>
        <v/>
      </c>
      <c r="M1365" s="20">
        <f>L1365*E1365</f>
        <v/>
      </c>
      <c r="N1365" s="20" t="n">
        <v>50</v>
      </c>
      <c r="O1365" s="20" t="n"/>
      <c r="P1365" s="20">
        <f>O1365-N1365</f>
        <v/>
      </c>
      <c r="Q1365" s="20">
        <f>P1365*E1365</f>
        <v/>
      </c>
      <c r="R1365" s="20" t="n"/>
    </row>
    <row r="1366" ht="20" customHeight="1" s="1">
      <c r="A1366" s="21" t="inlineStr">
        <is>
          <t>20209</t>
        </is>
      </c>
      <c r="B1366" s="22" t="inlineStr">
        <is>
          <t>KALINA</t>
        </is>
      </c>
      <c r="C1366" s="21" t="inlineStr">
        <is>
          <t>4600702099003</t>
        </is>
      </c>
      <c r="D1366" s="22" t="inlineStr">
        <is>
          <t>L/B z/p s ekstraktami aloevera 75ml</t>
        </is>
      </c>
      <c r="E1366" s="23" t="n">
        <v>3.3</v>
      </c>
      <c r="F1366" s="23" t="n">
        <v>48</v>
      </c>
      <c r="G1366" s="23" t="n">
        <v>0</v>
      </c>
      <c r="H1366" s="23" t="n"/>
      <c r="I1366" s="23" t="n"/>
      <c r="J1366" s="23" t="n"/>
      <c r="K1366" s="19">
        <f>H1366+I1366+J1366</f>
        <v/>
      </c>
      <c r="L1366" s="19">
        <f>K1366-G1366</f>
        <v/>
      </c>
      <c r="M1366" s="20">
        <f>L1366*E1366</f>
        <v/>
      </c>
      <c r="N1366" s="20" t="n">
        <v>50</v>
      </c>
      <c r="O1366" s="20" t="n"/>
      <c r="P1366" s="20">
        <f>O1366-N1366</f>
        <v/>
      </c>
      <c r="Q1366" s="20">
        <f>P1366*E1366</f>
        <v/>
      </c>
      <c r="R1366" s="20" t="n"/>
    </row>
    <row r="1367" ht="20" customHeight="1" s="1">
      <c r="A1367" s="16" t="inlineStr">
        <is>
          <t>20210</t>
        </is>
      </c>
      <c r="B1367" s="17" t="inlineStr">
        <is>
          <t>KALINA</t>
        </is>
      </c>
      <c r="C1367" s="16" t="inlineStr">
        <is>
          <t>8714100802472</t>
        </is>
      </c>
      <c r="D1367" s="17" t="inlineStr">
        <is>
          <t>L/B Zubnaya pasta Nocnaya 75ml</t>
        </is>
      </c>
      <c r="E1367" s="18" t="n">
        <v>4</v>
      </c>
      <c r="F1367" s="18" t="n">
        <v>48</v>
      </c>
      <c r="G1367" s="18" t="n">
        <v>33</v>
      </c>
      <c r="H1367" s="18" t="n"/>
      <c r="I1367" s="18" t="n"/>
      <c r="J1367" s="18" t="n"/>
      <c r="K1367" s="19">
        <f>H1367+I1367+J1367</f>
        <v/>
      </c>
      <c r="L1367" s="19">
        <f>K1367-G1367</f>
        <v/>
      </c>
      <c r="M1367" s="20">
        <f>L1367*E1367</f>
        <v/>
      </c>
      <c r="N1367" s="20" t="n">
        <v>50</v>
      </c>
      <c r="O1367" s="20" t="n"/>
      <c r="P1367" s="20">
        <f>O1367-N1367</f>
        <v/>
      </c>
      <c r="Q1367" s="20">
        <f>P1367*E1367</f>
        <v/>
      </c>
      <c r="R1367" s="20" t="n"/>
    </row>
    <row r="1368" ht="20" customHeight="1" s="1">
      <c r="A1368" s="21" t="inlineStr">
        <is>
          <t>20211</t>
        </is>
      </c>
      <c r="B1368" s="22" t="inlineStr">
        <is>
          <t>KALINA</t>
        </is>
      </c>
      <c r="C1368" s="21" t="inlineStr">
        <is>
          <t>8714100865446</t>
        </is>
      </c>
      <c r="D1368" s="22" t="inlineStr">
        <is>
          <t>L/B z/p s Orqaniceskimi maslami i Aloe 75ml</t>
        </is>
      </c>
      <c r="E1368" s="23" t="n">
        <v>4</v>
      </c>
      <c r="F1368" s="23" t="n">
        <v>48</v>
      </c>
      <c r="G1368" s="23" t="n">
        <v>8</v>
      </c>
      <c r="H1368" s="23" t="n"/>
      <c r="I1368" s="23" t="n"/>
      <c r="J1368" s="23" t="n"/>
      <c r="K1368" s="19" t="n"/>
      <c r="L1368" s="19" t="n"/>
      <c r="M1368" s="20" t="n"/>
      <c r="N1368" s="20" t="n">
        <v>50</v>
      </c>
      <c r="O1368" s="20" t="n"/>
      <c r="P1368" s="20">
        <f>O1368-N1368</f>
        <v/>
      </c>
      <c r="Q1368" s="20">
        <f>P1368*E1368</f>
        <v/>
      </c>
      <c r="R1368" s="20" t="n"/>
    </row>
    <row r="1369" ht="20" customHeight="1" s="1">
      <c r="A1369" s="16" t="inlineStr">
        <is>
          <t>20212</t>
        </is>
      </c>
      <c r="B1369" s="17" t="inlineStr">
        <is>
          <t>KALINA</t>
        </is>
      </c>
      <c r="C1369" s="16" t="inlineStr">
        <is>
          <t>4600702068702</t>
        </is>
      </c>
      <c r="D1369" s="17" t="inlineStr">
        <is>
          <t>L/B U /F  s koro duba i pixta   50ml</t>
        </is>
      </c>
      <c r="E1369" s="18" t="n">
        <v>2.4</v>
      </c>
      <c r="F1369" s="18" t="n">
        <v>48</v>
      </c>
      <c r="G1369" s="18" t="n">
        <v>63</v>
      </c>
      <c r="H1369" s="18" t="n"/>
      <c r="I1369" s="18" t="n"/>
      <c r="J1369" s="18" t="n"/>
      <c r="K1369" s="19">
        <f>H1369+I1369+J1369</f>
        <v/>
      </c>
      <c r="L1369" s="19">
        <f>K1369-G1369</f>
        <v/>
      </c>
      <c r="M1369" s="20">
        <f>L1369*E1369</f>
        <v/>
      </c>
      <c r="N1369" s="20" t="n">
        <v>50</v>
      </c>
      <c r="O1369" s="20" t="n"/>
      <c r="P1369" s="20">
        <f>O1369-N1369</f>
        <v/>
      </c>
      <c r="Q1369" s="20">
        <f>P1369*E1369</f>
        <v/>
      </c>
      <c r="R1369" s="20" t="n"/>
    </row>
    <row r="1370" ht="20" customHeight="1" s="1">
      <c r="A1370" s="21" t="inlineStr">
        <is>
          <t>20200</t>
        </is>
      </c>
      <c r="B1370" s="22" t="inlineStr">
        <is>
          <t>KALINA</t>
        </is>
      </c>
      <c r="C1370" s="21" t="inlineStr">
        <is>
          <t>8714100749401</t>
        </is>
      </c>
      <c r="D1370" s="22" t="inlineStr">
        <is>
          <t>L/B z/p Detskaya s 2-x yas 50ml</t>
        </is>
      </c>
      <c r="E1370" s="23" t="n">
        <v>3.8</v>
      </c>
      <c r="F1370" s="23" t="n">
        <v>24</v>
      </c>
      <c r="G1370" s="23" t="n">
        <v>34</v>
      </c>
      <c r="H1370" s="23" t="n"/>
      <c r="I1370" s="23" t="n"/>
      <c r="J1370" s="23" t="n"/>
      <c r="K1370" s="19">
        <f>H1370+I1370+J1370</f>
        <v/>
      </c>
      <c r="L1370" s="19">
        <f>K1370-G1370</f>
        <v/>
      </c>
      <c r="M1370" s="20">
        <f>L1370*E1370</f>
        <v/>
      </c>
      <c r="N1370" s="20" t="n">
        <v>50</v>
      </c>
      <c r="O1370" s="20" t="n"/>
      <c r="P1370" s="20">
        <f>O1370-N1370</f>
        <v/>
      </c>
      <c r="Q1370" s="20">
        <f>P1370*E1370</f>
        <v/>
      </c>
      <c r="R1370" s="20" t="n"/>
    </row>
    <row r="1371" ht="20" customHeight="1" s="1">
      <c r="A1371" s="16" t="inlineStr">
        <is>
          <t>20201</t>
        </is>
      </c>
      <c r="B1371" s="17" t="inlineStr">
        <is>
          <t>KALINA</t>
        </is>
      </c>
      <c r="C1371" s="16" t="inlineStr">
        <is>
          <t>8714100749166</t>
        </is>
      </c>
      <c r="D1371" s="17" t="inlineStr">
        <is>
          <t>L/B z/p Detskaya s 7-mi yas 50ml</t>
        </is>
      </c>
      <c r="E1371" s="18" t="n">
        <v>3.8</v>
      </c>
      <c r="F1371" s="18" t="n">
        <v>24</v>
      </c>
      <c r="G1371" s="18" t="n">
        <v>28</v>
      </c>
      <c r="H1371" s="18" t="n"/>
      <c r="I1371" s="18" t="n"/>
      <c r="J1371" s="18" t="n"/>
      <c r="K1371" s="19">
        <f>H1371+I1371+J1371</f>
        <v/>
      </c>
      <c r="L1371" s="19">
        <f>K1371-G1371</f>
        <v/>
      </c>
      <c r="M1371" s="20">
        <f>L1371*E1371</f>
        <v/>
      </c>
      <c r="N1371" s="20" t="n">
        <v>50</v>
      </c>
      <c r="O1371" s="20" t="n"/>
      <c r="P1371" s="20">
        <f>O1371-N1371</f>
        <v/>
      </c>
      <c r="Q1371" s="20">
        <f>P1371*E1371</f>
        <v/>
      </c>
      <c r="R1371" s="20" t="n"/>
    </row>
    <row r="1372" ht="20" customHeight="1" s="1">
      <c r="A1372" s="21" t="inlineStr">
        <is>
          <t>20216</t>
        </is>
      </c>
      <c r="B1372" s="22" t="inlineStr">
        <is>
          <t>KALINA</t>
        </is>
      </c>
      <c r="C1372" s="21" t="inlineStr">
        <is>
          <t>4605922017998</t>
        </is>
      </c>
      <c r="D1372" s="22" t="inlineStr">
        <is>
          <t>Zub/sot L/B tonus effekt</t>
        </is>
      </c>
      <c r="E1372" s="23" t="n">
        <v>5.2</v>
      </c>
      <c r="F1372" s="23" t="n">
        <v>12</v>
      </c>
      <c r="G1372" s="23" t="n">
        <v>0</v>
      </c>
      <c r="H1372" s="23" t="n"/>
      <c r="I1372" s="23" t="n"/>
      <c r="J1372" s="23" t="n"/>
      <c r="K1372" s="19">
        <f>H1372+I1372+J1372</f>
        <v/>
      </c>
      <c r="L1372" s="19">
        <f>K1372-G1372</f>
        <v/>
      </c>
      <c r="M1372" s="20">
        <f>L1372*E1372</f>
        <v/>
      </c>
      <c r="N1372" s="20" t="n">
        <v>50</v>
      </c>
      <c r="O1372" s="20" t="n"/>
      <c r="P1372" s="20">
        <f>O1372-N1372</f>
        <v/>
      </c>
      <c r="Q1372" s="20">
        <f>P1372*E1372</f>
        <v/>
      </c>
      <c r="R1372" s="20" t="n"/>
    </row>
    <row r="1373" ht="20" customHeight="1" s="1">
      <c r="A1373" s="16" t="inlineStr">
        <is>
          <t>20217</t>
        </is>
      </c>
      <c r="B1373" s="17" t="inlineStr">
        <is>
          <t>KALINA</t>
        </is>
      </c>
      <c r="C1373" s="16" t="inlineStr">
        <is>
          <t>4600702099621</t>
        </is>
      </c>
      <c r="D1373" s="17" t="inlineStr">
        <is>
          <t>Zub/sot L/B Kompleks yxod myaqkaya</t>
        </is>
      </c>
      <c r="E1373" s="18" t="n">
        <v>2.7</v>
      </c>
      <c r="F1373" s="18" t="n">
        <v>48</v>
      </c>
      <c r="G1373" s="18" t="n">
        <v>2</v>
      </c>
      <c r="H1373" s="18" t="n"/>
      <c r="I1373" s="18" t="n"/>
      <c r="J1373" s="18" t="n"/>
      <c r="K1373" s="19" t="n"/>
      <c r="L1373" s="19" t="n"/>
      <c r="M1373" s="20" t="n"/>
      <c r="N1373" s="20" t="n">
        <v>50</v>
      </c>
      <c r="O1373" s="20" t="n"/>
      <c r="P1373" s="20">
        <f>O1373-N1373</f>
        <v/>
      </c>
      <c r="Q1373" s="20">
        <f>P1373*E1373</f>
        <v/>
      </c>
      <c r="R1373" s="20" t="n"/>
    </row>
    <row r="1374" ht="20" customHeight="1" s="1">
      <c r="A1374" s="21" t="inlineStr">
        <is>
          <t>20218</t>
        </is>
      </c>
      <c r="B1374" s="22" t="inlineStr">
        <is>
          <t>KALINA</t>
        </is>
      </c>
      <c r="C1374" s="21" t="inlineStr">
        <is>
          <t>8714100918845</t>
        </is>
      </c>
      <c r="D1374" s="22" t="inlineStr">
        <is>
          <t>Zub/sot L/B Qimalayskoy solyu myaqkaya</t>
        </is>
      </c>
      <c r="E1374" s="23" t="n">
        <v>6</v>
      </c>
      <c r="F1374" s="23" t="n">
        <v>12</v>
      </c>
      <c r="G1374" s="23" t="n">
        <v>1</v>
      </c>
      <c r="H1374" s="23" t="n"/>
      <c r="I1374" s="23" t="n"/>
      <c r="J1374" s="23" t="n"/>
      <c r="K1374" s="19" t="n"/>
      <c r="L1374" s="19" t="n"/>
      <c r="M1374" s="20" t="n"/>
      <c r="N1374" s="20" t="n">
        <v>50</v>
      </c>
      <c r="O1374" s="20" t="n"/>
      <c r="P1374" s="20">
        <f>O1374-N1374</f>
        <v/>
      </c>
      <c r="Q1374" s="20">
        <f>P1374*E1374</f>
        <v/>
      </c>
      <c r="R1374" s="20" t="n"/>
    </row>
    <row r="1375" ht="20" customHeight="1" s="1">
      <c r="A1375" s="16" t="inlineStr">
        <is>
          <t>20219</t>
        </is>
      </c>
      <c r="B1375" s="17" t="inlineStr">
        <is>
          <t>KALINA</t>
        </is>
      </c>
      <c r="C1375" s="16" t="inlineStr">
        <is>
          <t>8714100918944</t>
        </is>
      </c>
      <c r="D1375" s="17" t="inlineStr">
        <is>
          <t>Zub/sot L/B Bambukovoy solyu myaqkaya</t>
        </is>
      </c>
      <c r="E1375" s="18" t="n">
        <v>6</v>
      </c>
      <c r="F1375" s="18" t="n">
        <v>12</v>
      </c>
      <c r="G1375" s="18" t="n">
        <v>0</v>
      </c>
      <c r="H1375" s="18" t="n"/>
      <c r="I1375" s="18" t="n"/>
      <c r="J1375" s="18" t="n"/>
      <c r="K1375" s="19">
        <f>H1375+I1375+J1375</f>
        <v/>
      </c>
      <c r="L1375" s="19">
        <f>K1375-G1375</f>
        <v/>
      </c>
      <c r="M1375" s="20">
        <f>L1375*E1375</f>
        <v/>
      </c>
      <c r="N1375" s="20" t="n">
        <v>50</v>
      </c>
      <c r="O1375" s="20" t="n"/>
      <c r="P1375" s="20">
        <f>O1375-N1375</f>
        <v/>
      </c>
      <c r="Q1375" s="20">
        <f>P1375*E1375</f>
        <v/>
      </c>
      <c r="R1375" s="20" t="n"/>
    </row>
    <row r="1376" ht="20" customHeight="1" s="1">
      <c r="A1376" s="21" t="inlineStr">
        <is>
          <t>20195</t>
        </is>
      </c>
      <c r="B1376" s="22" t="inlineStr">
        <is>
          <t>KALINA</t>
        </is>
      </c>
      <c r="C1376" s="21" t="inlineStr">
        <is>
          <t>4600702097061</t>
        </is>
      </c>
      <c r="D1376" s="22" t="inlineStr">
        <is>
          <t>Myaqkiy sampon DRAKOSA Yabloka</t>
        </is>
      </c>
      <c r="E1376" s="23" t="n">
        <v>5.6</v>
      </c>
      <c r="F1376" s="23" t="n">
        <v>12</v>
      </c>
      <c r="G1376" s="23" t="n">
        <v>0</v>
      </c>
      <c r="H1376" s="23" t="n"/>
      <c r="I1376" s="23" t="n"/>
      <c r="J1376" s="23" t="n"/>
      <c r="K1376" s="19">
        <f>H1376+I1376+J1376</f>
        <v/>
      </c>
      <c r="L1376" s="19">
        <f>K1376-G1376</f>
        <v/>
      </c>
      <c r="M1376" s="20">
        <f>L1376*E1376</f>
        <v/>
      </c>
      <c r="N1376" s="20" t="n">
        <v>50</v>
      </c>
      <c r="O1376" s="20" t="n"/>
      <c r="P1376" s="20">
        <f>O1376-N1376</f>
        <v/>
      </c>
      <c r="Q1376" s="20">
        <f>P1376*E1376</f>
        <v/>
      </c>
      <c r="R1376" s="20" t="n"/>
    </row>
    <row r="1377" ht="20" customHeight="1" s="1">
      <c r="A1377" s="16" t="inlineStr">
        <is>
          <t>20193</t>
        </is>
      </c>
      <c r="B1377" s="17" t="inlineStr">
        <is>
          <t>KALINA</t>
        </is>
      </c>
      <c r="C1377" s="16" t="inlineStr">
        <is>
          <t>4690447008996</t>
        </is>
      </c>
      <c r="D1377" s="17" t="inlineStr">
        <is>
          <t>Samp.myaq. DRAKOSA Zemlyanika 240ml</t>
        </is>
      </c>
      <c r="E1377" s="18" t="n">
        <v>5.6</v>
      </c>
      <c r="F1377" s="18" t="n">
        <v>12</v>
      </c>
      <c r="G1377" s="18" t="n">
        <v>0</v>
      </c>
      <c r="H1377" s="18" t="n"/>
      <c r="I1377" s="18" t="n"/>
      <c r="J1377" s="18" t="n"/>
      <c r="K1377" s="19">
        <f>H1377+I1377+J1377</f>
        <v/>
      </c>
      <c r="L1377" s="19">
        <f>K1377-G1377</f>
        <v/>
      </c>
      <c r="M1377" s="20">
        <f>L1377*E1377</f>
        <v/>
      </c>
      <c r="N1377" s="20" t="n">
        <v>50</v>
      </c>
      <c r="O1377" s="20" t="n"/>
      <c r="P1377" s="20">
        <f>O1377-N1377</f>
        <v/>
      </c>
      <c r="Q1377" s="20">
        <f>P1377*E1377</f>
        <v/>
      </c>
      <c r="R1377" s="20" t="n"/>
    </row>
    <row r="1378" ht="20" customHeight="1" s="1">
      <c r="A1378" s="21" t="inlineStr">
        <is>
          <t>20198</t>
        </is>
      </c>
      <c r="B1378" s="22" t="inlineStr">
        <is>
          <t>KALINA</t>
        </is>
      </c>
      <c r="C1378" s="21" t="inlineStr">
        <is>
          <t>4600702023046</t>
        </is>
      </c>
      <c r="D1378" s="22" t="inlineStr">
        <is>
          <t>3/p DRAKOSA Klubnika 60 ml</t>
        </is>
      </c>
      <c r="E1378" s="23" t="n">
        <v>2.9</v>
      </c>
      <c r="F1378" s="23" t="n">
        <v>30</v>
      </c>
      <c r="G1378" s="23" t="n">
        <v>0</v>
      </c>
      <c r="H1378" s="23" t="n"/>
      <c r="I1378" s="23" t="n"/>
      <c r="J1378" s="23" t="n"/>
      <c r="K1378" s="19">
        <f>H1378+I1378+J1378</f>
        <v/>
      </c>
      <c r="L1378" s="19">
        <f>K1378-G1378</f>
        <v/>
      </c>
      <c r="M1378" s="20">
        <f>L1378*E1378</f>
        <v/>
      </c>
      <c r="N1378" s="20" t="n">
        <v>50</v>
      </c>
      <c r="O1378" s="20" t="n"/>
      <c r="P1378" s="20">
        <f>O1378-N1378</f>
        <v/>
      </c>
      <c r="Q1378" s="20">
        <f>P1378*E1378</f>
        <v/>
      </c>
      <c r="R1378" s="20" t="n"/>
    </row>
    <row r="1379" ht="20" customHeight="1" s="1">
      <c r="A1379" s="16" t="inlineStr">
        <is>
          <t>20199</t>
        </is>
      </c>
      <c r="B1379" s="17" t="inlineStr">
        <is>
          <t>KALINA</t>
        </is>
      </c>
      <c r="C1379" s="16" t="inlineStr">
        <is>
          <t>4600702054460</t>
        </is>
      </c>
      <c r="D1379" s="17" t="inlineStr">
        <is>
          <t>3/p DRAKOSA Malina 60 ml</t>
        </is>
      </c>
      <c r="E1379" s="18" t="n">
        <v>2.9</v>
      </c>
      <c r="F1379" s="18" t="n">
        <v>30</v>
      </c>
      <c r="G1379" s="18" t="n">
        <v>13</v>
      </c>
      <c r="H1379" s="18" t="n"/>
      <c r="I1379" s="18" t="n"/>
      <c r="J1379" s="18" t="n"/>
      <c r="K1379" s="19">
        <f>H1379+I1379+J1379</f>
        <v/>
      </c>
      <c r="L1379" s="19">
        <f>K1379-G1379</f>
        <v/>
      </c>
      <c r="M1379" s="20">
        <f>L1379*E1379</f>
        <v/>
      </c>
      <c r="N1379" s="20" t="n">
        <v>50</v>
      </c>
      <c r="O1379" s="20" t="n"/>
      <c r="P1379" s="20">
        <f>O1379-N1379</f>
        <v/>
      </c>
      <c r="Q1379" s="20">
        <f>P1379*E1379</f>
        <v/>
      </c>
      <c r="R1379" s="20" t="n"/>
    </row>
    <row r="1380" ht="20" customHeight="1" s="1">
      <c r="A1380" s="21" t="inlineStr">
        <is>
          <t>21890</t>
        </is>
      </c>
      <c r="B1380" s="22" t="inlineStr">
        <is>
          <t>GRASS</t>
        </is>
      </c>
      <c r="C1380" s="21" t="inlineStr">
        <is>
          <t>4607072197537</t>
        </is>
      </c>
      <c r="D1380" s="22" t="inlineStr">
        <is>
          <t>Azelit Universal Anti-Jir Sprey metbex 600ml</t>
        </is>
      </c>
      <c r="E1380" s="23" t="n">
        <v>5.13</v>
      </c>
      <c r="F1380" s="23" t="n">
        <v>8</v>
      </c>
      <c r="G1380" s="23" t="n">
        <v>359</v>
      </c>
      <c r="H1380" s="23" t="n">
        <v>359</v>
      </c>
      <c r="I1380" s="23" t="n"/>
      <c r="J1380" s="23" t="n"/>
      <c r="K1380" s="19">
        <f>H1380+I1380+J1380</f>
        <v/>
      </c>
      <c r="L1380" s="19">
        <f>K1380-G1380</f>
        <v/>
      </c>
      <c r="M1380" s="20">
        <f>L1380*E1380</f>
        <v/>
      </c>
      <c r="N1380" s="20" t="n">
        <v>50</v>
      </c>
      <c r="O1380" s="20" t="n"/>
      <c r="P1380" s="20">
        <f>O1380-N1380</f>
        <v/>
      </c>
      <c r="Q1380" s="20">
        <f>P1380*E1380</f>
        <v/>
      </c>
      <c r="R1380" s="20" t="n"/>
    </row>
    <row r="1381" ht="20" customHeight="1" s="1">
      <c r="A1381" s="16" t="inlineStr">
        <is>
          <t>21894</t>
        </is>
      </c>
      <c r="B1381" s="17" t="inlineStr">
        <is>
          <t>GRASS</t>
        </is>
      </c>
      <c r="C1381" s="16" t="inlineStr">
        <is>
          <t>4630097267558</t>
        </is>
      </c>
      <c r="D1381" s="17" t="inlineStr">
        <is>
          <t>Azelit Anti-Jir Sprey suse keramika plite 600ml</t>
        </is>
      </c>
      <c r="E1381" s="18" t="n">
        <v>5.13</v>
      </c>
      <c r="F1381" s="18" t="n">
        <v>8</v>
      </c>
      <c r="G1381" s="18" t="n">
        <v>108</v>
      </c>
      <c r="H1381" s="18" t="n"/>
      <c r="I1381" s="18" t="n"/>
      <c r="J1381" s="18" t="n"/>
      <c r="K1381" s="19" t="n"/>
      <c r="L1381" s="19" t="n"/>
      <c r="M1381" s="20" t="n"/>
      <c r="N1381" s="20" t="n">
        <v>50</v>
      </c>
      <c r="O1381" s="20" t="n"/>
      <c r="P1381" s="20">
        <f>O1381-N1381</f>
        <v/>
      </c>
      <c r="Q1381" s="20">
        <f>P1381*E1381</f>
        <v/>
      </c>
      <c r="R1381" s="20" t="n"/>
    </row>
    <row r="1382" ht="20" customHeight="1" s="1">
      <c r="A1382" s="21" t="inlineStr">
        <is>
          <t>21896</t>
        </is>
      </c>
      <c r="B1382" s="22" t="inlineStr">
        <is>
          <t>GRASS</t>
        </is>
      </c>
      <c r="C1382" s="21" t="inlineStr">
        <is>
          <t>4650067529462</t>
        </is>
      </c>
      <c r="D1382" s="22" t="inlineStr">
        <is>
          <t>Azelit Anti-Jir Sprey Pariltili qazan metbex 600ml</t>
        </is>
      </c>
      <c r="E1382" s="23" t="n">
        <v>5.13</v>
      </c>
      <c r="F1382" s="23" t="n">
        <v>8</v>
      </c>
      <c r="G1382" s="23" t="n">
        <v>421</v>
      </c>
      <c r="H1382" s="23" t="n">
        <v>421</v>
      </c>
      <c r="I1382" s="23" t="n"/>
      <c r="J1382" s="23" t="n"/>
      <c r="K1382" s="19">
        <f>H1382+I1382+J1382</f>
        <v/>
      </c>
      <c r="L1382" s="19">
        <f>K1382-G1382</f>
        <v/>
      </c>
      <c r="M1382" s="20">
        <f>L1382*E1382</f>
        <v/>
      </c>
      <c r="N1382" s="20" t="n">
        <v>50</v>
      </c>
      <c r="O1382" s="20" t="n"/>
      <c r="P1382" s="20">
        <f>O1382-N1382</f>
        <v/>
      </c>
      <c r="Q1382" s="20">
        <f>P1382*E1382</f>
        <v/>
      </c>
      <c r="R1382" s="20" t="n"/>
    </row>
    <row r="1383" ht="20" customHeight="1" s="1">
      <c r="A1383" s="16" t="inlineStr">
        <is>
          <t>21895</t>
        </is>
      </c>
      <c r="B1383" s="17" t="inlineStr">
        <is>
          <t>GRASS</t>
        </is>
      </c>
      <c r="C1383" s="16" t="inlineStr">
        <is>
          <t>4630097267565</t>
        </is>
      </c>
      <c r="D1383" s="17" t="inlineStr">
        <is>
          <t>Azelit Anti-Jir Sprey qranit sunidas qara ortuk 600ml</t>
        </is>
      </c>
      <c r="E1383" s="18" t="n">
        <v>5.13</v>
      </c>
      <c r="F1383" s="18" t="n">
        <v>8</v>
      </c>
      <c r="G1383" s="18" t="n">
        <v>0</v>
      </c>
      <c r="H1383" s="18" t="n">
        <v>0</v>
      </c>
      <c r="I1383" s="18" t="n"/>
      <c r="J1383" s="18" t="n"/>
      <c r="K1383" s="19">
        <f>H1383+I1383+J1383</f>
        <v/>
      </c>
      <c r="L1383" s="19">
        <f>K1383-G1383</f>
        <v/>
      </c>
      <c r="M1383" s="20">
        <f>L1383*E1383</f>
        <v/>
      </c>
      <c r="N1383" s="20" t="n">
        <v>50</v>
      </c>
      <c r="O1383" s="20" t="n"/>
      <c r="P1383" s="20">
        <f>O1383-N1383</f>
        <v/>
      </c>
      <c r="Q1383" s="20">
        <f>P1383*E1383</f>
        <v/>
      </c>
      <c r="R1383" s="20" t="n"/>
    </row>
    <row r="1384" ht="20" customHeight="1" s="1">
      <c r="A1384" s="21" t="inlineStr">
        <is>
          <t>21891</t>
        </is>
      </c>
      <c r="B1384" s="22" t="inlineStr">
        <is>
          <t>GRASS</t>
        </is>
      </c>
      <c r="C1384" s="21" t="inlineStr">
        <is>
          <t>4607072198381</t>
        </is>
      </c>
      <c r="D1384" s="22" t="inlineStr">
        <is>
          <t>Azelit Universal Anti-Jir Gel metbex 500ml</t>
        </is>
      </c>
      <c r="E1384" s="23" t="n">
        <v>4.3</v>
      </c>
      <c r="F1384" s="23" t="n">
        <v>8</v>
      </c>
      <c r="G1384" s="23" t="n">
        <v>0</v>
      </c>
      <c r="H1384" s="23" t="n">
        <v>0</v>
      </c>
      <c r="I1384" s="23" t="n"/>
      <c r="J1384" s="23" t="n"/>
      <c r="K1384" s="19">
        <f>H1384+I1384+J1384</f>
        <v/>
      </c>
      <c r="L1384" s="19">
        <f>K1384-G1384</f>
        <v/>
      </c>
      <c r="M1384" s="20">
        <f>L1384*E1384</f>
        <v/>
      </c>
      <c r="N1384" s="20" t="n">
        <v>50</v>
      </c>
      <c r="O1384" s="20" t="n"/>
      <c r="P1384" s="20">
        <f>O1384-N1384</f>
        <v/>
      </c>
      <c r="Q1384" s="20">
        <f>P1384*E1384</f>
        <v/>
      </c>
      <c r="R1384" s="20" t="n"/>
    </row>
    <row r="1385" ht="20" customHeight="1" s="1">
      <c r="A1385" s="16" t="inlineStr">
        <is>
          <t>21892</t>
        </is>
      </c>
      <c r="B1385" s="17" t="inlineStr">
        <is>
          <t>GRASS</t>
        </is>
      </c>
      <c r="C1385" s="16" t="inlineStr">
        <is>
          <t>4670113606060</t>
        </is>
      </c>
      <c r="D1385" s="17" t="inlineStr">
        <is>
          <t>Azelit Anti-Nalet Krem metbex hamam otagi 500ml</t>
        </is>
      </c>
      <c r="E1385" s="18" t="n">
        <v>4.2</v>
      </c>
      <c r="F1385" s="18" t="n">
        <v>8</v>
      </c>
      <c r="G1385" s="18" t="n">
        <v>1</v>
      </c>
      <c r="H1385" s="18" t="n">
        <v>1</v>
      </c>
      <c r="I1385" s="18" t="n"/>
      <c r="J1385" s="18" t="n"/>
      <c r="K1385" s="19">
        <f>H1385+I1385+J1385</f>
        <v/>
      </c>
      <c r="L1385" s="19">
        <f>K1385-G1385</f>
        <v/>
      </c>
      <c r="M1385" s="20">
        <f>L1385*E1385</f>
        <v/>
      </c>
      <c r="N1385" s="20" t="n">
        <v>50</v>
      </c>
      <c r="O1385" s="20" t="n"/>
      <c r="P1385" s="20">
        <f>O1385-N1385</f>
        <v/>
      </c>
      <c r="Q1385" s="20">
        <f>P1385*E1385</f>
        <v/>
      </c>
      <c r="R1385" s="20" t="n"/>
    </row>
    <row r="1386" ht="20" customHeight="1" s="1">
      <c r="A1386" s="21" t="inlineStr">
        <is>
          <t>21893</t>
        </is>
      </c>
      <c r="B1386" s="22" t="inlineStr">
        <is>
          <t>GRASS</t>
        </is>
      </c>
      <c r="C1386" s="21" t="inlineStr">
        <is>
          <t>4670113600853</t>
        </is>
      </c>
      <c r="D1386" s="22" t="inlineStr">
        <is>
          <t>Azelit Anti-Jir Krem suse keramika plite 500ml</t>
        </is>
      </c>
      <c r="E1386" s="23" t="n">
        <v>4.4</v>
      </c>
      <c r="F1386" s="23" t="n">
        <v>8</v>
      </c>
      <c r="G1386" s="23" t="n">
        <v>62</v>
      </c>
      <c r="H1386" s="23" t="n">
        <v>62</v>
      </c>
      <c r="I1386" s="23" t="n"/>
      <c r="J1386" s="23" t="n"/>
      <c r="K1386" s="19">
        <f>H1386+I1386+J1386</f>
        <v/>
      </c>
      <c r="L1386" s="19">
        <f>K1386-G1386</f>
        <v/>
      </c>
      <c r="M1386" s="20">
        <f>L1386*E1386</f>
        <v/>
      </c>
      <c r="N1386" s="20" t="n">
        <v>50</v>
      </c>
      <c r="O1386" s="20" t="n"/>
      <c r="P1386" s="20">
        <f>O1386-N1386</f>
        <v/>
      </c>
      <c r="Q1386" s="20">
        <f>P1386*E1386</f>
        <v/>
      </c>
      <c r="R1386" s="20" t="n"/>
    </row>
    <row r="1387" ht="20" customHeight="1" s="1">
      <c r="A1387" s="16" t="inlineStr">
        <is>
          <t>21909</t>
        </is>
      </c>
      <c r="B1387" s="17" t="inlineStr">
        <is>
          <t>GRASS</t>
        </is>
      </c>
      <c r="C1387" s="16" t="inlineStr">
        <is>
          <t>4607072196646</t>
        </is>
      </c>
      <c r="D1387" s="17" t="inlineStr">
        <is>
          <t>WC-Gel Eheng ve Pas temizleyici unitaz kafel 750ml</t>
        </is>
      </c>
      <c r="E1387" s="18" t="n">
        <v>4</v>
      </c>
      <c r="F1387" s="18" t="n">
        <v>12</v>
      </c>
      <c r="G1387" s="18" t="n">
        <v>61</v>
      </c>
      <c r="H1387" s="18" t="n">
        <v>12</v>
      </c>
      <c r="I1387" s="18" t="n">
        <v>49</v>
      </c>
      <c r="J1387" s="18" t="n"/>
      <c r="K1387" s="19">
        <f>H1387+I1387+J1387</f>
        <v/>
      </c>
      <c r="L1387" s="19">
        <f>K1387-G1387</f>
        <v/>
      </c>
      <c r="M1387" s="20">
        <f>L1387*E1387</f>
        <v/>
      </c>
      <c r="N1387" s="20" t="n">
        <v>50</v>
      </c>
      <c r="O1387" s="20" t="n"/>
      <c r="P1387" s="20">
        <f>O1387-N1387</f>
        <v/>
      </c>
      <c r="Q1387" s="20">
        <f>P1387*E1387</f>
        <v/>
      </c>
      <c r="R1387" s="20" t="n"/>
    </row>
    <row r="1388" ht="20" customHeight="1" s="1">
      <c r="A1388" s="21" t="inlineStr">
        <is>
          <t>21911</t>
        </is>
      </c>
      <c r="B1388" s="22" t="inlineStr">
        <is>
          <t>GRASS</t>
        </is>
      </c>
      <c r="C1388" s="21" t="inlineStr">
        <is>
          <t>4670113602499</t>
        </is>
      </c>
      <c r="D1388" s="22" t="inlineStr">
        <is>
          <t>Dos-Gel Nane Xlor esasli unitaz kafel doseme 750ml</t>
        </is>
      </c>
      <c r="E1388" s="23" t="n">
        <v>4.1</v>
      </c>
      <c r="F1388" s="23" t="n">
        <v>12</v>
      </c>
      <c r="G1388" s="23" t="n">
        <v>61</v>
      </c>
      <c r="H1388" s="23" t="n">
        <v>61</v>
      </c>
      <c r="I1388" s="23" t="n"/>
      <c r="J1388" s="23" t="n"/>
      <c r="K1388" s="19">
        <f>H1388+I1388+J1388</f>
        <v/>
      </c>
      <c r="L1388" s="19">
        <f>K1388-G1388</f>
        <v/>
      </c>
      <c r="M1388" s="20">
        <f>L1388*E1388</f>
        <v/>
      </c>
      <c r="N1388" s="20" t="n">
        <v>50</v>
      </c>
      <c r="O1388" s="20" t="n"/>
      <c r="P1388" s="20">
        <f>O1388-N1388</f>
        <v/>
      </c>
      <c r="Q1388" s="20">
        <f>P1388*E1388</f>
        <v/>
      </c>
      <c r="R1388" s="20" t="n"/>
    </row>
    <row r="1389" ht="20" customHeight="1" s="1">
      <c r="A1389" s="16" t="inlineStr">
        <is>
          <t>21910</t>
        </is>
      </c>
      <c r="B1389" s="17" t="inlineStr">
        <is>
          <t>GRASS</t>
        </is>
      </c>
      <c r="C1389" s="16" t="inlineStr">
        <is>
          <t>4607072196639</t>
        </is>
      </c>
      <c r="D1389" s="17" t="inlineStr">
        <is>
          <t>Dos-Gel Xlor esasli unitaz vanna kafel doseme 750ml</t>
        </is>
      </c>
      <c r="E1389" s="18" t="n">
        <v>4</v>
      </c>
      <c r="F1389" s="18" t="n">
        <v>12</v>
      </c>
      <c r="G1389" s="18" t="n">
        <v>48</v>
      </c>
      <c r="H1389" s="18" t="n">
        <v>48</v>
      </c>
      <c r="I1389" s="18" t="n"/>
      <c r="J1389" s="18" t="n"/>
      <c r="K1389" s="19">
        <f>H1389+I1389+J1389</f>
        <v/>
      </c>
      <c r="L1389" s="19">
        <f>K1389-G1389</f>
        <v/>
      </c>
      <c r="M1389" s="20">
        <f>L1389*E1389</f>
        <v/>
      </c>
      <c r="N1389" s="20" t="n">
        <v>50</v>
      </c>
      <c r="O1389" s="20" t="n"/>
      <c r="P1389" s="20">
        <f>O1389-N1389</f>
        <v/>
      </c>
      <c r="Q1389" s="20">
        <f>P1389*E1389</f>
        <v/>
      </c>
      <c r="R1389" s="20" t="n"/>
    </row>
    <row r="1390" ht="20" customHeight="1" s="1">
      <c r="A1390" s="21" t="inlineStr">
        <is>
          <t>21912</t>
        </is>
      </c>
      <c r="B1390" s="22" t="inlineStr">
        <is>
          <t>GRASS</t>
        </is>
      </c>
      <c r="C1390" s="21" t="inlineStr">
        <is>
          <t>4670113602482</t>
        </is>
      </c>
      <c r="D1390" s="22" t="inlineStr">
        <is>
          <t>Dos-Gel Sitrus Xlor esasli unitaz kafel doseme 750ml</t>
        </is>
      </c>
      <c r="E1390" s="23" t="n">
        <v>4.1</v>
      </c>
      <c r="F1390" s="23" t="n">
        <v>12</v>
      </c>
      <c r="G1390" s="23" t="n">
        <v>0</v>
      </c>
      <c r="H1390" s="23" t="n">
        <v>0</v>
      </c>
      <c r="I1390" s="23" t="n"/>
      <c r="J1390" s="23" t="n"/>
      <c r="K1390" s="19">
        <f>H1390+I1390+J1390</f>
        <v/>
      </c>
      <c r="L1390" s="19">
        <f>K1390-G1390</f>
        <v/>
      </c>
      <c r="M1390" s="20">
        <f>L1390*E1390</f>
        <v/>
      </c>
      <c r="N1390" s="20" t="n">
        <v>50</v>
      </c>
      <c r="O1390" s="20" t="n"/>
      <c r="P1390" s="20">
        <f>O1390-N1390</f>
        <v/>
      </c>
      <c r="Q1390" s="20">
        <f>P1390*E1390</f>
        <v/>
      </c>
      <c r="R1390" s="20" t="n"/>
    </row>
    <row r="1391" ht="20" customHeight="1" s="1">
      <c r="A1391" s="16" t="inlineStr">
        <is>
          <t>21913</t>
        </is>
      </c>
      <c r="B1391" s="17" t="inlineStr">
        <is>
          <t>GRASS</t>
        </is>
      </c>
      <c r="C1391" s="16" t="inlineStr">
        <is>
          <t>4650067524931</t>
        </is>
      </c>
      <c r="D1391" s="17" t="inlineStr">
        <is>
          <t>Digger-Gel Anti-zasor Boru tixanmasina qarsi 750ml</t>
        </is>
      </c>
      <c r="E1391" s="18" t="n">
        <v>4.1</v>
      </c>
      <c r="F1391" s="18" t="n">
        <v>12</v>
      </c>
      <c r="G1391" s="18" t="n">
        <v>72</v>
      </c>
      <c r="H1391" s="18" t="n"/>
      <c r="I1391" s="18" t="n"/>
      <c r="J1391" s="18" t="n"/>
      <c r="K1391" s="19" t="n"/>
      <c r="L1391" s="19" t="n"/>
      <c r="M1391" s="20" t="n"/>
      <c r="N1391" s="20" t="n">
        <v>50</v>
      </c>
      <c r="O1391" s="20" t="n"/>
      <c r="P1391" s="20">
        <f>O1391-N1391</f>
        <v/>
      </c>
      <c r="Q1391" s="20">
        <f>P1391*E1391</f>
        <v/>
      </c>
      <c r="R1391" s="20" t="n"/>
    </row>
    <row r="1392" ht="20" customHeight="1" s="1">
      <c r="A1392" s="21" t="inlineStr">
        <is>
          <t>21902</t>
        </is>
      </c>
      <c r="B1392" s="22" t="inlineStr">
        <is>
          <t>GRASS</t>
        </is>
      </c>
      <c r="C1392" s="21" t="inlineStr">
        <is>
          <t>4607072196677</t>
        </is>
      </c>
      <c r="D1392" s="22" t="inlineStr">
        <is>
          <t>Gloss Anti-nalet Sprey metbex hamam otagi 600ml</t>
        </is>
      </c>
      <c r="E1392" s="23" t="n">
        <v>5.3</v>
      </c>
      <c r="F1392" s="23" t="n">
        <v>8</v>
      </c>
      <c r="G1392" s="23" t="n">
        <v>93</v>
      </c>
      <c r="H1392" s="23" t="n">
        <v>93</v>
      </c>
      <c r="I1392" s="23" t="n"/>
      <c r="J1392" s="23" t="n"/>
      <c r="K1392" s="19">
        <f>H1392+I1392+J1392</f>
        <v/>
      </c>
      <c r="L1392" s="19">
        <f>K1392-G1392</f>
        <v/>
      </c>
      <c r="M1392" s="20">
        <f>L1392*E1392</f>
        <v/>
      </c>
      <c r="N1392" s="20" t="n">
        <v>50</v>
      </c>
      <c r="O1392" s="20" t="n"/>
      <c r="P1392" s="20">
        <f>O1392-N1392</f>
        <v/>
      </c>
      <c r="Q1392" s="20">
        <f>P1392*E1392</f>
        <v/>
      </c>
      <c r="R1392" s="20" t="n"/>
    </row>
    <row r="1393" ht="20" customHeight="1" s="1">
      <c r="A1393" s="16" t="inlineStr">
        <is>
          <t>21904</t>
        </is>
      </c>
      <c r="B1393" s="17" t="inlineStr">
        <is>
          <t>GRASS</t>
        </is>
      </c>
      <c r="C1393" s="16" t="inlineStr">
        <is>
          <t>4630037515343</t>
        </is>
      </c>
      <c r="D1393" s="17" t="inlineStr">
        <is>
          <t>Dos-Clean Sprey kif eleyhine agardici hamam otagi 600ml</t>
        </is>
      </c>
      <c r="E1393" s="18" t="n">
        <v>5.76</v>
      </c>
      <c r="F1393" s="18" t="n">
        <v>8</v>
      </c>
      <c r="G1393" s="18" t="n">
        <v>0</v>
      </c>
      <c r="H1393" s="18" t="n">
        <v>0</v>
      </c>
      <c r="I1393" s="18" t="n"/>
      <c r="J1393" s="18" t="n"/>
      <c r="K1393" s="19">
        <f>H1393+I1393+J1393</f>
        <v/>
      </c>
      <c r="L1393" s="19">
        <f>K1393-G1393</f>
        <v/>
      </c>
      <c r="M1393" s="20">
        <f>L1393*E1393</f>
        <v/>
      </c>
      <c r="N1393" s="20" t="n">
        <v>50</v>
      </c>
      <c r="O1393" s="20" t="n"/>
      <c r="P1393" s="20">
        <f>O1393-N1393</f>
        <v/>
      </c>
      <c r="Q1393" s="20">
        <f>P1393*E1393</f>
        <v/>
      </c>
      <c r="R1393" s="20" t="n"/>
    </row>
    <row r="1394" ht="20" customHeight="1" s="1">
      <c r="A1394" s="21" t="inlineStr">
        <is>
          <t>21905</t>
        </is>
      </c>
      <c r="B1394" s="22" t="inlineStr">
        <is>
          <t>GRASS</t>
        </is>
      </c>
      <c r="C1394" s="21" t="inlineStr">
        <is>
          <t>4650067526003</t>
        </is>
      </c>
      <c r="D1394" s="22" t="inlineStr">
        <is>
          <t>Clean Glass Sprey suse guzgu temizleyici mavi 600ml</t>
        </is>
      </c>
      <c r="E1394" s="23" t="n">
        <v>2.84</v>
      </c>
      <c r="F1394" s="23" t="n">
        <v>8</v>
      </c>
      <c r="G1394" s="23" t="n">
        <v>169</v>
      </c>
      <c r="H1394" s="23" t="n"/>
      <c r="I1394" s="23" t="n"/>
      <c r="J1394" s="23" t="n"/>
      <c r="K1394" s="19" t="n"/>
      <c r="L1394" s="19" t="n"/>
      <c r="M1394" s="20" t="n"/>
      <c r="N1394" s="20" t="n">
        <v>50</v>
      </c>
      <c r="O1394" s="20" t="n"/>
      <c r="P1394" s="20">
        <f>O1394-N1394</f>
        <v/>
      </c>
      <c r="Q1394" s="20">
        <f>P1394*E1394</f>
        <v/>
      </c>
      <c r="R1394" s="20" t="n"/>
    </row>
    <row r="1395" ht="20" customHeight="1" s="1">
      <c r="A1395" s="16" t="inlineStr">
        <is>
          <t>21906</t>
        </is>
      </c>
      <c r="B1395" s="17" t="inlineStr">
        <is>
          <t>GRASS</t>
        </is>
      </c>
      <c r="C1395" s="16" t="inlineStr">
        <is>
          <t>4650067525679</t>
        </is>
      </c>
      <c r="D1395" s="17" t="inlineStr">
        <is>
          <t>Clean Glass Sprey suse guzgu temizleyici cehrayi 600ml</t>
        </is>
      </c>
      <c r="E1395" s="18" t="n">
        <v>2.84</v>
      </c>
      <c r="F1395" s="18" t="n">
        <v>8</v>
      </c>
      <c r="G1395" s="18" t="n">
        <v>135</v>
      </c>
      <c r="H1395" s="18" t="n"/>
      <c r="I1395" s="18" t="n"/>
      <c r="J1395" s="18" t="n"/>
      <c r="K1395" s="19" t="n"/>
      <c r="L1395" s="19" t="n"/>
      <c r="M1395" s="20" t="n"/>
      <c r="N1395" s="20" t="n">
        <v>50</v>
      </c>
      <c r="O1395" s="20" t="n"/>
      <c r="P1395" s="20">
        <f>O1395-N1395</f>
        <v/>
      </c>
      <c r="Q1395" s="20">
        <f>P1395*E1395</f>
        <v/>
      </c>
      <c r="R1395" s="20" t="n"/>
    </row>
    <row r="1396" ht="20" customHeight="1" s="1">
      <c r="A1396" s="21" t="inlineStr">
        <is>
          <t>21907</t>
        </is>
      </c>
      <c r="B1396" s="22" t="inlineStr">
        <is>
          <t>GRASS</t>
        </is>
      </c>
      <c r="C1396" s="21" t="inlineStr">
        <is>
          <t>4650067525174</t>
        </is>
      </c>
      <c r="D1396" s="22" t="inlineStr">
        <is>
          <t>Universal Cleaner Sprey yumusaq seth lekecixarici 600ml</t>
        </is>
      </c>
      <c r="E1396" s="23" t="n">
        <v>4.64</v>
      </c>
      <c r="F1396" s="23" t="n">
        <v>8</v>
      </c>
      <c r="G1396" s="23" t="n">
        <v>36</v>
      </c>
      <c r="H1396" s="23" t="n"/>
      <c r="I1396" s="23" t="n"/>
      <c r="J1396" s="23" t="n"/>
      <c r="K1396" s="19" t="n"/>
      <c r="L1396" s="19" t="n"/>
      <c r="M1396" s="20" t="n"/>
      <c r="N1396" s="20" t="n">
        <v>50</v>
      </c>
      <c r="O1396" s="20" t="n"/>
      <c r="P1396" s="20">
        <f>O1396-N1396</f>
        <v/>
      </c>
      <c r="Q1396" s="20">
        <f>P1396*E1396</f>
        <v/>
      </c>
      <c r="R1396" s="20" t="n"/>
    </row>
    <row r="1397" ht="20" customHeight="1" s="1">
      <c r="A1397" s="16" t="inlineStr">
        <is>
          <t>21889</t>
        </is>
      </c>
      <c r="B1397" s="17" t="inlineStr">
        <is>
          <t>GRASS</t>
        </is>
      </c>
      <c r="C1397" s="16" t="inlineStr">
        <is>
          <t>4607072196691</t>
        </is>
      </c>
      <c r="D1397" s="17" t="inlineStr">
        <is>
          <t>Torus Anti-Pil Sprey taxta sethler temizleyici 600ml</t>
        </is>
      </c>
      <c r="E1397" s="18" t="n">
        <v>5.4</v>
      </c>
      <c r="F1397" s="18" t="n">
        <v>8</v>
      </c>
      <c r="G1397" s="18" t="n">
        <v>6</v>
      </c>
      <c r="H1397" s="18" t="n">
        <v>6</v>
      </c>
      <c r="I1397" s="18" t="n"/>
      <c r="J1397" s="18" t="n"/>
      <c r="K1397" s="19">
        <f>H1397+I1397+J1397</f>
        <v/>
      </c>
      <c r="L1397" s="19">
        <f>K1397-G1397</f>
        <v/>
      </c>
      <c r="M1397" s="20">
        <f>L1397*E1397</f>
        <v/>
      </c>
      <c r="N1397" s="20" t="n">
        <v>50</v>
      </c>
      <c r="O1397" s="20" t="n"/>
      <c r="P1397" s="20">
        <f>O1397-N1397</f>
        <v/>
      </c>
      <c r="Q1397" s="20">
        <f>P1397*E1397</f>
        <v/>
      </c>
      <c r="R1397" s="20" t="n"/>
    </row>
    <row r="1398" ht="20" customHeight="1" s="1">
      <c r="A1398" s="21" t="inlineStr">
        <is>
          <t>21908</t>
        </is>
      </c>
      <c r="B1398" s="22" t="inlineStr">
        <is>
          <t>GRASS</t>
        </is>
      </c>
      <c r="C1398" s="21" t="inlineStr">
        <is>
          <t>4650067524382</t>
        </is>
      </c>
      <c r="D1398" s="22" t="inlineStr">
        <is>
          <t>Anti Graffiti Sprey Inadkar lekelere qarsi 600ml</t>
        </is>
      </c>
      <c r="E1398" s="23" t="n">
        <v>12.6</v>
      </c>
      <c r="F1398" s="23" t="n">
        <v>8</v>
      </c>
      <c r="G1398" s="23" t="n">
        <v>26</v>
      </c>
      <c r="H1398" s="23" t="n">
        <v>26</v>
      </c>
      <c r="I1398" s="23" t="n"/>
      <c r="J1398" s="23" t="n"/>
      <c r="K1398" s="19">
        <f>H1398+I1398+J1398</f>
        <v/>
      </c>
      <c r="L1398" s="19">
        <f>K1398-G1398</f>
        <v/>
      </c>
      <c r="M1398" s="20">
        <f>L1398*E1398</f>
        <v/>
      </c>
      <c r="N1398" s="20" t="n">
        <v>50</v>
      </c>
      <c r="O1398" s="20" t="n"/>
      <c r="P1398" s="20">
        <f>O1398-N1398</f>
        <v/>
      </c>
      <c r="Q1398" s="20">
        <f>P1398*E1398</f>
        <v/>
      </c>
      <c r="R1398" s="20" t="n"/>
    </row>
    <row r="1399" ht="20" customHeight="1" s="1">
      <c r="A1399" s="16" t="inlineStr">
        <is>
          <t>21885</t>
        </is>
      </c>
      <c r="B1399" s="17" t="inlineStr">
        <is>
          <t>GRASS</t>
        </is>
      </c>
      <c r="C1399" s="16" t="inlineStr">
        <is>
          <t>4630097260252</t>
        </is>
      </c>
      <c r="D1399" s="17" t="inlineStr">
        <is>
          <t>Grass Maye teserrufat sabunu 72% 1000ml</t>
        </is>
      </c>
      <c r="E1399" s="18" t="n">
        <v>3.3</v>
      </c>
      <c r="F1399" s="18" t="n">
        <v>6</v>
      </c>
      <c r="G1399" s="18" t="n">
        <v>0</v>
      </c>
      <c r="H1399" s="18" t="n">
        <v>0</v>
      </c>
      <c r="I1399" s="18" t="n"/>
      <c r="J1399" s="18" t="n"/>
      <c r="K1399" s="19">
        <f>H1399+I1399+J1399</f>
        <v/>
      </c>
      <c r="L1399" s="19">
        <f>K1399-G1399</f>
        <v/>
      </c>
      <c r="M1399" s="20">
        <f>L1399*E1399</f>
        <v/>
      </c>
      <c r="N1399" s="20" t="n">
        <v>50</v>
      </c>
      <c r="O1399" s="20" t="n"/>
      <c r="P1399" s="20">
        <f>O1399-N1399</f>
        <v/>
      </c>
      <c r="Q1399" s="20">
        <f>P1399*E1399</f>
        <v/>
      </c>
      <c r="R1399" s="20" t="n"/>
    </row>
    <row r="1400" ht="20" customHeight="1" s="1">
      <c r="A1400" s="21" t="inlineStr">
        <is>
          <t>22087</t>
        </is>
      </c>
      <c r="B1400" s="22" t="inlineStr">
        <is>
          <t>GRASS</t>
        </is>
      </c>
      <c r="C1400" s="21" t="inlineStr">
        <is>
          <t>4650067527819</t>
        </is>
      </c>
      <c r="D1400" s="22" t="inlineStr">
        <is>
          <t>Milana nemlendirici krem sabun frut babls 1000ml</t>
        </is>
      </c>
      <c r="E1400" s="23" t="n">
        <v>4.45</v>
      </c>
      <c r="F1400" s="23" t="n">
        <v>6</v>
      </c>
      <c r="G1400" s="23" t="n">
        <v>138</v>
      </c>
      <c r="H1400" s="23" t="n"/>
      <c r="I1400" s="23" t="n"/>
      <c r="J1400" s="23" t="n"/>
      <c r="K1400" s="19" t="n"/>
      <c r="L1400" s="19" t="n"/>
      <c r="M1400" s="20" t="n"/>
      <c r="N1400" s="20" t="n">
        <v>50</v>
      </c>
      <c r="O1400" s="20" t="n"/>
      <c r="P1400" s="20">
        <f>O1400-N1400</f>
        <v/>
      </c>
      <c r="Q1400" s="20">
        <f>P1400*E1400</f>
        <v/>
      </c>
      <c r="R1400" s="20" t="n"/>
    </row>
    <row r="1401" ht="20" customHeight="1" s="1">
      <c r="A1401" s="16" t="inlineStr">
        <is>
          <t>22088</t>
        </is>
      </c>
      <c r="B1401" s="17" t="inlineStr">
        <is>
          <t>GRASS</t>
        </is>
      </c>
      <c r="C1401" s="16" t="inlineStr">
        <is>
          <t>4607072198909</t>
        </is>
      </c>
      <c r="D1401" s="17" t="inlineStr">
        <is>
          <t>Milana nemlendirici krem sabun yogurtda qaragile 1000ml</t>
        </is>
      </c>
      <c r="E1401" s="18" t="n">
        <v>4.45</v>
      </c>
      <c r="F1401" s="18" t="n">
        <v>6</v>
      </c>
      <c r="G1401" s="18" t="n">
        <v>110</v>
      </c>
      <c r="H1401" s="18" t="n"/>
      <c r="I1401" s="18" t="n"/>
      <c r="J1401" s="18" t="n"/>
      <c r="K1401" s="19" t="n"/>
      <c r="L1401" s="19" t="n"/>
      <c r="M1401" s="20" t="n"/>
      <c r="N1401" s="20" t="n">
        <v>50</v>
      </c>
      <c r="O1401" s="20" t="n"/>
      <c r="P1401" s="20">
        <f>O1401-N1401</f>
        <v/>
      </c>
      <c r="Q1401" s="20">
        <f>P1401*E1401</f>
        <v/>
      </c>
      <c r="R1401" s="20" t="n"/>
    </row>
    <row r="1402" ht="20" customHeight="1" s="1">
      <c r="A1402" s="21" t="inlineStr">
        <is>
          <t>22089</t>
        </is>
      </c>
      <c r="B1402" s="22" t="inlineStr">
        <is>
          <t>GRASS</t>
        </is>
      </c>
      <c r="C1402" s="21" t="inlineStr">
        <is>
          <t>4607072198749</t>
        </is>
      </c>
      <c r="D1402" s="22" t="inlineStr">
        <is>
          <t>Milana nemlendirici krem sabun yetismis albali 1000ml</t>
        </is>
      </c>
      <c r="E1402" s="23" t="n">
        <v>4.45</v>
      </c>
      <c r="F1402" s="23" t="n">
        <v>6</v>
      </c>
      <c r="G1402" s="23" t="n">
        <v>0</v>
      </c>
      <c r="H1402" s="23" t="n">
        <v>0</v>
      </c>
      <c r="I1402" s="23" t="n"/>
      <c r="J1402" s="23" t="n"/>
      <c r="K1402" s="19">
        <f>H1402+I1402+J1402</f>
        <v/>
      </c>
      <c r="L1402" s="19">
        <f>K1402-G1402</f>
        <v/>
      </c>
      <c r="M1402" s="20">
        <f>L1402*E1402</f>
        <v/>
      </c>
      <c r="N1402" s="20" t="n">
        <v>50</v>
      </c>
      <c r="O1402" s="20" t="n"/>
      <c r="P1402" s="20">
        <f>O1402-N1402</f>
        <v/>
      </c>
      <c r="Q1402" s="20">
        <f>P1402*E1402</f>
        <v/>
      </c>
      <c r="R1402" s="20" t="n"/>
    </row>
    <row r="1403" ht="20" customHeight="1" s="1">
      <c r="A1403" s="16" t="inlineStr">
        <is>
          <t>21903</t>
        </is>
      </c>
      <c r="B1403" s="17" t="inlineStr">
        <is>
          <t>GRASS</t>
        </is>
      </c>
      <c r="C1403" s="16" t="inlineStr">
        <is>
          <t>4607072198497</t>
        </is>
      </c>
      <c r="D1403" s="17" t="inlineStr">
        <is>
          <t>Gloss Gel Anti-nalet metbex hamam otagi 500ml</t>
        </is>
      </c>
      <c r="E1403" s="18" t="n">
        <v>4.2</v>
      </c>
      <c r="F1403" s="18" t="n">
        <v>8</v>
      </c>
      <c r="G1403" s="18" t="n">
        <v>11</v>
      </c>
      <c r="H1403" s="18" t="n">
        <v>11</v>
      </c>
      <c r="I1403" s="18" t="n"/>
      <c r="J1403" s="18" t="n"/>
      <c r="K1403" s="19">
        <f>H1403+I1403+J1403</f>
        <v/>
      </c>
      <c r="L1403" s="19">
        <f>K1403-G1403</f>
        <v/>
      </c>
      <c r="M1403" s="20">
        <f>L1403*E1403</f>
        <v/>
      </c>
      <c r="N1403" s="20" t="n">
        <v>50</v>
      </c>
      <c r="O1403" s="20" t="n"/>
      <c r="P1403" s="20">
        <f>O1403-N1403</f>
        <v/>
      </c>
      <c r="Q1403" s="20">
        <f>P1403*E1403</f>
        <v/>
      </c>
      <c r="R1403" s="20" t="n"/>
    </row>
    <row r="1404" ht="20" customHeight="1" s="1">
      <c r="A1404" s="21" t="inlineStr">
        <is>
          <t>21887</t>
        </is>
      </c>
      <c r="B1404" s="22" t="inlineStr">
        <is>
          <t>GRASS</t>
        </is>
      </c>
      <c r="C1404" s="21" t="inlineStr">
        <is>
          <t>4650067520964</t>
        </is>
      </c>
      <c r="D1404" s="22" t="inlineStr">
        <is>
          <t>Milana nemlendirici krem sabun yetismis gilas 500ml</t>
        </is>
      </c>
      <c r="E1404" s="23" t="n">
        <v>3.1</v>
      </c>
      <c r="F1404" s="23" t="n">
        <v>15</v>
      </c>
      <c r="G1404" s="23" t="n">
        <v>0</v>
      </c>
      <c r="H1404" s="23" t="n">
        <v>0</v>
      </c>
      <c r="I1404" s="23" t="n"/>
      <c r="J1404" s="23" t="n"/>
      <c r="K1404" s="19">
        <f>H1404+I1404+J1404</f>
        <v/>
      </c>
      <c r="L1404" s="19">
        <f>K1404-G1404</f>
        <v/>
      </c>
      <c r="M1404" s="20">
        <f>L1404*E1404</f>
        <v/>
      </c>
      <c r="N1404" s="20" t="n">
        <v>50</v>
      </c>
      <c r="O1404" s="20" t="n"/>
      <c r="P1404" s="20">
        <f>O1404-N1404</f>
        <v/>
      </c>
      <c r="Q1404" s="20">
        <f>P1404*E1404</f>
        <v/>
      </c>
      <c r="R1404" s="20" t="n"/>
    </row>
    <row r="1405" ht="20" customHeight="1" s="1">
      <c r="A1405" s="16" t="inlineStr">
        <is>
          <t>21886</t>
        </is>
      </c>
      <c r="B1405" s="17" t="inlineStr">
        <is>
          <t>GRASS</t>
        </is>
      </c>
      <c r="C1405" s="16" t="inlineStr">
        <is>
          <t>4650067528281</t>
        </is>
      </c>
      <c r="D1405" s="17" t="inlineStr">
        <is>
          <t>Milana Kids Maye antibakterial sabun frut babls 500ml</t>
        </is>
      </c>
      <c r="E1405" s="18" t="n">
        <v>2.67</v>
      </c>
      <c r="F1405" s="18" t="n">
        <v>15</v>
      </c>
      <c r="G1405" s="18" t="n">
        <v>0</v>
      </c>
      <c r="H1405" s="18" t="n">
        <v>0</v>
      </c>
      <c r="I1405" s="18" t="n"/>
      <c r="J1405" s="18" t="n"/>
      <c r="K1405" s="19">
        <f>H1405+I1405+J1405</f>
        <v/>
      </c>
      <c r="L1405" s="19">
        <f>K1405-G1405</f>
        <v/>
      </c>
      <c r="M1405" s="20">
        <f>L1405*E1405</f>
        <v/>
      </c>
      <c r="N1405" s="20" t="n">
        <v>50</v>
      </c>
      <c r="O1405" s="20" t="n"/>
      <c r="P1405" s="20">
        <f>O1405-N1405</f>
        <v/>
      </c>
      <c r="Q1405" s="20">
        <f>P1405*E1405</f>
        <v/>
      </c>
      <c r="R1405" s="20" t="n"/>
    </row>
    <row r="1406" ht="20" customHeight="1" s="1">
      <c r="A1406" s="21" t="inlineStr">
        <is>
          <t>21888</t>
        </is>
      </c>
      <c r="B1406" s="22" t="inlineStr">
        <is>
          <t>GRASS</t>
        </is>
      </c>
      <c r="C1406" s="21" t="inlineStr">
        <is>
          <t>4650067520902</t>
        </is>
      </c>
      <c r="D1406" s="22" t="inlineStr">
        <is>
          <t>Milana nemlendirici krem sabun yogurtda qaragile 500ml</t>
        </is>
      </c>
      <c r="E1406" s="23" t="n">
        <v>3.1</v>
      </c>
      <c r="F1406" s="23" t="n">
        <v>15</v>
      </c>
      <c r="G1406" s="23" t="n">
        <v>59</v>
      </c>
      <c r="H1406" s="23" t="n">
        <v>59</v>
      </c>
      <c r="I1406" s="23" t="n"/>
      <c r="J1406" s="23" t="n"/>
      <c r="K1406" s="19">
        <f>H1406+I1406+J1406</f>
        <v/>
      </c>
      <c r="L1406" s="19">
        <f>K1406-G1406</f>
        <v/>
      </c>
      <c r="M1406" s="20">
        <f>L1406*E1406</f>
        <v/>
      </c>
      <c r="N1406" s="20" t="n">
        <v>50</v>
      </c>
      <c r="O1406" s="20" t="n"/>
      <c r="P1406" s="20">
        <f>O1406-N1406</f>
        <v/>
      </c>
      <c r="Q1406" s="20">
        <f>P1406*E1406</f>
        <v/>
      </c>
      <c r="R1406" s="20" t="n"/>
    </row>
    <row r="1407" ht="20" customHeight="1" s="1">
      <c r="A1407" s="16" t="inlineStr">
        <is>
          <t>21898</t>
        </is>
      </c>
      <c r="B1407" s="17" t="inlineStr">
        <is>
          <t>GRASS</t>
        </is>
      </c>
      <c r="C1407" s="16" t="inlineStr">
        <is>
          <t>4630037515770</t>
        </is>
      </c>
      <c r="D1407" s="17" t="inlineStr">
        <is>
          <t>G-Oxi Sprey Ag paltarlar Agardici Lekeaparan 600ml</t>
        </is>
      </c>
      <c r="E1407" s="18" t="n">
        <v>5.5</v>
      </c>
      <c r="F1407" s="18" t="n">
        <v>8</v>
      </c>
      <c r="G1407" s="18" t="n">
        <v>23</v>
      </c>
      <c r="H1407" s="18" t="n"/>
      <c r="I1407" s="18" t="n"/>
      <c r="J1407" s="18" t="n"/>
      <c r="K1407" s="19" t="n"/>
      <c r="L1407" s="19" t="n"/>
      <c r="M1407" s="20" t="n"/>
      <c r="N1407" s="20" t="n">
        <v>50</v>
      </c>
      <c r="O1407" s="20" t="n"/>
      <c r="P1407" s="20">
        <f>O1407-N1407</f>
        <v/>
      </c>
      <c r="Q1407" s="20">
        <f>P1407*E1407</f>
        <v/>
      </c>
      <c r="R1407" s="20" t="n"/>
    </row>
    <row r="1408" ht="20" customHeight="1" s="1">
      <c r="A1408" s="21" t="inlineStr">
        <is>
          <t>21901</t>
        </is>
      </c>
      <c r="B1408" s="22" t="inlineStr">
        <is>
          <t>GRASS</t>
        </is>
      </c>
      <c r="C1408" s="21" t="inlineStr">
        <is>
          <t>4630097265332</t>
        </is>
      </c>
      <c r="D1408" s="22" t="inlineStr">
        <is>
          <t>G-Oxi Sprey Xalca xalca ortukleri Lekeaparan 600ml</t>
        </is>
      </c>
      <c r="E1408" s="23" t="n">
        <v>5.13</v>
      </c>
      <c r="F1408" s="23" t="n">
        <v>8</v>
      </c>
      <c r="G1408" s="23" t="n">
        <v>0</v>
      </c>
      <c r="H1408" s="23" t="n">
        <v>0</v>
      </c>
      <c r="I1408" s="23" t="n"/>
      <c r="J1408" s="23" t="n"/>
      <c r="K1408" s="19">
        <f>H1408+I1408+J1408</f>
        <v/>
      </c>
      <c r="L1408" s="19">
        <f>K1408-G1408</f>
        <v/>
      </c>
      <c r="M1408" s="20">
        <f>L1408*E1408</f>
        <v/>
      </c>
      <c r="N1408" s="20" t="n">
        <v>50</v>
      </c>
      <c r="O1408" s="20" t="n"/>
      <c r="P1408" s="20">
        <f>O1408-N1408</f>
        <v/>
      </c>
      <c r="Q1408" s="20">
        <f>P1408*E1408</f>
        <v/>
      </c>
      <c r="R1408" s="20" t="n"/>
    </row>
    <row r="1409" ht="20" customHeight="1" s="1">
      <c r="A1409" s="16" t="inlineStr">
        <is>
          <t>21900</t>
        </is>
      </c>
      <c r="B1409" s="17" t="inlineStr">
        <is>
          <t>GRASS</t>
        </is>
      </c>
      <c r="C1409" s="16" t="inlineStr">
        <is>
          <t>4630037515787</t>
        </is>
      </c>
      <c r="D1409" s="17" t="inlineStr">
        <is>
          <t>G-Oxi Sprey Rengli paltarlar ucun Lekeaparan 600ml</t>
        </is>
      </c>
      <c r="E1409" s="18" t="n">
        <v>5.5</v>
      </c>
      <c r="F1409" s="18" t="n">
        <v>8</v>
      </c>
      <c r="G1409" s="18" t="n">
        <v>0</v>
      </c>
      <c r="H1409" s="18" t="n">
        <v>0</v>
      </c>
      <c r="I1409" s="18" t="n"/>
      <c r="J1409" s="18" t="n"/>
      <c r="K1409" s="19">
        <f>H1409+I1409+J1409</f>
        <v/>
      </c>
      <c r="L1409" s="19">
        <f>K1409-G1409</f>
        <v/>
      </c>
      <c r="M1409" s="20">
        <f>L1409*E1409</f>
        <v/>
      </c>
      <c r="N1409" s="20" t="n">
        <v>50</v>
      </c>
      <c r="O1409" s="20" t="n"/>
      <c r="P1409" s="20">
        <f>O1409-N1409</f>
        <v/>
      </c>
      <c r="Q1409" s="20">
        <f>P1409*E1409</f>
        <v/>
      </c>
      <c r="R1409" s="20" t="n"/>
    </row>
    <row r="1410" ht="20" customHeight="1" s="1">
      <c r="A1410" s="21" t="inlineStr">
        <is>
          <t>21897</t>
        </is>
      </c>
      <c r="B1410" s="22" t="inlineStr">
        <is>
          <t>GRASS</t>
        </is>
      </c>
      <c r="C1410" s="21" t="inlineStr">
        <is>
          <t>4670113605780</t>
        </is>
      </c>
      <c r="D1410" s="22" t="inlineStr">
        <is>
          <t>G-Oxi Toz Ag paltarlar ucun Agardici Lekeaparan 500qr</t>
        </is>
      </c>
      <c r="E1410" s="23" t="n">
        <v>8.9</v>
      </c>
      <c r="F1410" s="23" t="n">
        <v>8</v>
      </c>
      <c r="G1410" s="23" t="n">
        <v>0</v>
      </c>
      <c r="H1410" s="23" t="n">
        <v>0</v>
      </c>
      <c r="I1410" s="23" t="n"/>
      <c r="J1410" s="23" t="n"/>
      <c r="K1410" s="19">
        <f>H1410+I1410+J1410</f>
        <v/>
      </c>
      <c r="L1410" s="19">
        <f>K1410-G1410</f>
        <v/>
      </c>
      <c r="M1410" s="20">
        <f>L1410*E1410</f>
        <v/>
      </c>
      <c r="N1410" s="20" t="n">
        <v>50</v>
      </c>
      <c r="O1410" s="20" t="n"/>
      <c r="P1410" s="20">
        <f>O1410-N1410</f>
        <v/>
      </c>
      <c r="Q1410" s="20">
        <f>P1410*E1410</f>
        <v/>
      </c>
      <c r="R1410" s="20" t="n"/>
    </row>
    <row r="1411" ht="20" customHeight="1" s="1">
      <c r="A1411" s="16" t="inlineStr">
        <is>
          <t>21899</t>
        </is>
      </c>
      <c r="B1411" s="17" t="inlineStr">
        <is>
          <t>GRASS</t>
        </is>
      </c>
      <c r="C1411" s="16" t="inlineStr">
        <is>
          <t>4670113605797</t>
        </is>
      </c>
      <c r="D1411" s="17" t="inlineStr">
        <is>
          <t>G-Oxi Toz Rengli paltarlar ucun Lekeaparan 500qr</t>
        </is>
      </c>
      <c r="E1411" s="18" t="n">
        <v>8.9</v>
      </c>
      <c r="F1411" s="18" t="n">
        <v>8</v>
      </c>
      <c r="G1411" s="18" t="n">
        <v>12</v>
      </c>
      <c r="H1411" s="18" t="n">
        <v>12</v>
      </c>
      <c r="I1411" s="18" t="n"/>
      <c r="J1411" s="18" t="n"/>
      <c r="K1411" s="19">
        <f>H1411+I1411+J1411</f>
        <v/>
      </c>
      <c r="L1411" s="19">
        <f>K1411-G1411</f>
        <v/>
      </c>
      <c r="M1411" s="20">
        <f>L1411*E1411</f>
        <v/>
      </c>
      <c r="N1411" s="20" t="n">
        <v>50</v>
      </c>
      <c r="O1411" s="20" t="n"/>
      <c r="P1411" s="20">
        <f>O1411-N1411</f>
        <v/>
      </c>
      <c r="Q1411" s="20">
        <f>P1411*E1411</f>
        <v/>
      </c>
      <c r="R1411" s="20" t="n"/>
    </row>
    <row r="1412" ht="20" customHeight="1" s="1">
      <c r="A1412" s="21" t="inlineStr">
        <is>
          <t>22091</t>
        </is>
      </c>
      <c r="B1412" s="22" t="inlineStr">
        <is>
          <t>GRASS</t>
        </is>
      </c>
      <c r="C1412" s="21" t="inlineStr">
        <is>
          <t>4650067524955</t>
        </is>
      </c>
      <c r="D1412" s="22" t="inlineStr">
        <is>
          <t>Arena ciceklenen lotus doseme ucun antibakterial konsentrat 1lt</t>
        </is>
      </c>
      <c r="E1412" s="23" t="n">
        <v>3.7</v>
      </c>
      <c r="F1412" s="23" t="n">
        <v>8</v>
      </c>
      <c r="G1412" s="23" t="n">
        <v>80</v>
      </c>
      <c r="H1412" s="23" t="n">
        <v>80</v>
      </c>
      <c r="I1412" s="23" t="n"/>
      <c r="J1412" s="23" t="n"/>
      <c r="K1412" s="19">
        <f>H1412+I1412+J1412</f>
        <v/>
      </c>
      <c r="L1412" s="19">
        <f>K1412-G1412</f>
        <v/>
      </c>
      <c r="M1412" s="20">
        <f>L1412*E1412</f>
        <v/>
      </c>
      <c r="N1412" s="20" t="n">
        <v>50</v>
      </c>
      <c r="O1412" s="20" t="n"/>
      <c r="P1412" s="20">
        <f>O1412-N1412</f>
        <v/>
      </c>
      <c r="Q1412" s="20">
        <f>P1412*E1412</f>
        <v/>
      </c>
      <c r="R1412" s="20" t="n"/>
    </row>
    <row r="1413" ht="20" customHeight="1" s="1">
      <c r="A1413" s="16" t="inlineStr">
        <is>
          <t>21923</t>
        </is>
      </c>
      <c r="B1413" s="17" t="inlineStr">
        <is>
          <t>GRASS</t>
        </is>
      </c>
      <c r="C1413" s="16" t="inlineStr">
        <is>
          <t>4670113607678</t>
        </is>
      </c>
      <c r="D1413" s="17" t="inlineStr">
        <is>
          <t>MyMuse Sampun mohkemledici sacuzadici 400ml</t>
        </is>
      </c>
      <c r="E1413" s="18" t="n">
        <v>10.7</v>
      </c>
      <c r="F1413" s="18" t="n">
        <v>4</v>
      </c>
      <c r="G1413" s="18" t="n">
        <v>8</v>
      </c>
      <c r="H1413" s="18" t="n">
        <v>8</v>
      </c>
      <c r="I1413" s="18" t="n"/>
      <c r="J1413" s="18" t="n"/>
      <c r="K1413" s="19">
        <f>H1413+I1413+J1413</f>
        <v/>
      </c>
      <c r="L1413" s="19">
        <f>K1413-G1413</f>
        <v/>
      </c>
      <c r="M1413" s="20">
        <f>L1413*E1413</f>
        <v/>
      </c>
      <c r="N1413" s="20" t="n">
        <v>50</v>
      </c>
      <c r="O1413" s="20" t="n"/>
      <c r="P1413" s="20">
        <f>O1413-N1413</f>
        <v/>
      </c>
      <c r="Q1413" s="20">
        <f>P1413*E1413</f>
        <v/>
      </c>
      <c r="R1413" s="20" t="n"/>
    </row>
    <row r="1414" ht="20" customHeight="1" s="1">
      <c r="A1414" s="21" t="inlineStr">
        <is>
          <t>21925</t>
        </is>
      </c>
      <c r="B1414" s="22" t="inlineStr">
        <is>
          <t>GRASS</t>
        </is>
      </c>
      <c r="C1414" s="21" t="inlineStr">
        <is>
          <t>4670113607593</t>
        </is>
      </c>
      <c r="D1414" s="22" t="inlineStr">
        <is>
          <t>MyMuse Sampun mohkemledici sulfatsiz 400ml</t>
        </is>
      </c>
      <c r="E1414" s="23" t="n">
        <v>10.7</v>
      </c>
      <c r="F1414" s="23" t="n">
        <v>4</v>
      </c>
      <c r="G1414" s="23" t="n">
        <v>8</v>
      </c>
      <c r="H1414" s="23" t="n">
        <v>8</v>
      </c>
      <c r="I1414" s="23" t="n"/>
      <c r="J1414" s="23" t="n"/>
      <c r="K1414" s="19">
        <f>H1414+I1414+J1414</f>
        <v/>
      </c>
      <c r="L1414" s="19">
        <f>K1414-G1414</f>
        <v/>
      </c>
      <c r="M1414" s="20">
        <f>L1414*E1414</f>
        <v/>
      </c>
      <c r="N1414" s="20" t="n">
        <v>50</v>
      </c>
      <c r="O1414" s="20" t="n"/>
      <c r="P1414" s="20">
        <f>O1414-N1414</f>
        <v/>
      </c>
      <c r="Q1414" s="20">
        <f>P1414*E1414</f>
        <v/>
      </c>
      <c r="R1414" s="20" t="n"/>
    </row>
    <row r="1415" ht="20" customHeight="1" s="1">
      <c r="A1415" s="16" t="inlineStr">
        <is>
          <t>21924</t>
        </is>
      </c>
      <c r="B1415" s="17" t="inlineStr">
        <is>
          <t>GRASS</t>
        </is>
      </c>
      <c r="C1415" s="16" t="inlineStr">
        <is>
          <t>4670113607685</t>
        </is>
      </c>
      <c r="D1415" s="17" t="inlineStr">
        <is>
          <t>MyMuse Sampun mohkemledici perpaedici sos 400ml</t>
        </is>
      </c>
      <c r="E1415" s="18" t="n">
        <v>10.7</v>
      </c>
      <c r="F1415" s="18" t="n">
        <v>4</v>
      </c>
      <c r="G1415" s="18" t="n">
        <v>8</v>
      </c>
      <c r="H1415" s="18" t="n">
        <v>8</v>
      </c>
      <c r="I1415" s="18" t="n"/>
      <c r="J1415" s="18" t="n"/>
      <c r="K1415" s="19">
        <f>H1415+I1415+J1415</f>
        <v/>
      </c>
      <c r="L1415" s="19">
        <f>K1415-G1415</f>
        <v/>
      </c>
      <c r="M1415" s="20">
        <f>L1415*E1415</f>
        <v/>
      </c>
      <c r="N1415" s="20" t="n">
        <v>50</v>
      </c>
      <c r="O1415" s="20" t="n"/>
      <c r="P1415" s="20">
        <f>O1415-N1415</f>
        <v/>
      </c>
      <c r="Q1415" s="20">
        <f>P1415*E1415</f>
        <v/>
      </c>
      <c r="R1415" s="20" t="n"/>
    </row>
    <row r="1416" ht="20" customHeight="1" s="1">
      <c r="A1416" s="21" t="inlineStr">
        <is>
          <t>21916</t>
        </is>
      </c>
      <c r="B1416" s="22" t="inlineStr">
        <is>
          <t>GRASS</t>
        </is>
      </c>
      <c r="C1416" s="21" t="inlineStr">
        <is>
          <t>4670113613891</t>
        </is>
      </c>
      <c r="D1416" s="22" t="inlineStr">
        <is>
          <t>MyMuse Balzam boyali saclar ucun 400ml</t>
        </is>
      </c>
      <c r="E1416" s="23" t="n">
        <v>10.7</v>
      </c>
      <c r="F1416" s="23" t="n">
        <v>4</v>
      </c>
      <c r="G1416" s="23" t="n">
        <v>7</v>
      </c>
      <c r="H1416" s="23" t="n">
        <v>7</v>
      </c>
      <c r="I1416" s="23" t="n"/>
      <c r="J1416" s="23" t="n"/>
      <c r="K1416" s="19">
        <f>H1416+I1416+J1416</f>
        <v/>
      </c>
      <c r="L1416" s="19">
        <f>K1416-G1416</f>
        <v/>
      </c>
      <c r="M1416" s="20">
        <f>L1416*E1416</f>
        <v/>
      </c>
      <c r="N1416" s="20" t="n">
        <v>50</v>
      </c>
      <c r="O1416" s="20" t="n"/>
      <c r="P1416" s="20">
        <f>O1416-N1416</f>
        <v/>
      </c>
      <c r="Q1416" s="20">
        <f>P1416*E1416</f>
        <v/>
      </c>
      <c r="R1416" s="20" t="n"/>
    </row>
    <row r="1417" ht="20" customHeight="1" s="1">
      <c r="A1417" s="16" t="inlineStr">
        <is>
          <t>21926</t>
        </is>
      </c>
      <c r="B1417" s="17" t="inlineStr">
        <is>
          <t>GRASS</t>
        </is>
      </c>
      <c r="C1417" s="16" t="inlineStr">
        <is>
          <t>4670113607609</t>
        </is>
      </c>
      <c r="D1417" s="17" t="inlineStr">
        <is>
          <t>MyMuse Balzam mohkemledici sacuzadici 400ml</t>
        </is>
      </c>
      <c r="E1417" s="18" t="n">
        <v>10.7</v>
      </c>
      <c r="F1417" s="18" t="n">
        <v>4</v>
      </c>
      <c r="G1417" s="18" t="n">
        <v>11</v>
      </c>
      <c r="H1417" s="18" t="n">
        <v>11</v>
      </c>
      <c r="I1417" s="18" t="n"/>
      <c r="J1417" s="18" t="n"/>
      <c r="K1417" s="19">
        <f>H1417+I1417+J1417</f>
        <v/>
      </c>
      <c r="L1417" s="19">
        <f>K1417-G1417</f>
        <v/>
      </c>
      <c r="M1417" s="20">
        <f>L1417*E1417</f>
        <v/>
      </c>
      <c r="N1417" s="20" t="n">
        <v>50</v>
      </c>
      <c r="O1417" s="20" t="n"/>
      <c r="P1417" s="20">
        <f>O1417-N1417</f>
        <v/>
      </c>
      <c r="Q1417" s="20">
        <f>P1417*E1417</f>
        <v/>
      </c>
      <c r="R1417" s="20" t="n"/>
    </row>
    <row r="1418" ht="20" customHeight="1" s="1">
      <c r="A1418" s="21" t="inlineStr">
        <is>
          <t>21927</t>
        </is>
      </c>
      <c r="B1418" s="22" t="inlineStr">
        <is>
          <t>GRASS</t>
        </is>
      </c>
      <c r="C1418" s="21" t="inlineStr">
        <is>
          <t>4670113607616</t>
        </is>
      </c>
      <c r="D1418" s="22" t="inlineStr">
        <is>
          <t>MyMuse Balzam mohkemledici perpaedici sos 400ml</t>
        </is>
      </c>
      <c r="E1418" s="23" t="n">
        <v>10.7</v>
      </c>
      <c r="F1418" s="23" t="n">
        <v>4</v>
      </c>
      <c r="G1418" s="23" t="n">
        <v>23</v>
      </c>
      <c r="H1418" s="23" t="n">
        <v>23</v>
      </c>
      <c r="I1418" s="23" t="n"/>
      <c r="J1418" s="23" t="n"/>
      <c r="K1418" s="19">
        <f>H1418+I1418+J1418</f>
        <v/>
      </c>
      <c r="L1418" s="19">
        <f>K1418-G1418</f>
        <v/>
      </c>
      <c r="M1418" s="20">
        <f>L1418*E1418</f>
        <v/>
      </c>
      <c r="N1418" s="20" t="n">
        <v>50</v>
      </c>
      <c r="O1418" s="20" t="n"/>
      <c r="P1418" s="20">
        <f>O1418-N1418</f>
        <v/>
      </c>
      <c r="Q1418" s="20">
        <f>P1418*E1418</f>
        <v/>
      </c>
      <c r="R1418" s="20" t="n"/>
    </row>
    <row r="1419" ht="20" customHeight="1" s="1">
      <c r="A1419" s="16" t="inlineStr">
        <is>
          <t>21928</t>
        </is>
      </c>
      <c r="B1419" s="17" t="inlineStr">
        <is>
          <t>GRASS</t>
        </is>
      </c>
      <c r="C1419" s="16" t="inlineStr">
        <is>
          <t>4670113607623</t>
        </is>
      </c>
      <c r="D1419" s="17" t="inlineStr">
        <is>
          <t>MyMuse Balzam mohkemledici sulfatsiz 400ml</t>
        </is>
      </c>
      <c r="E1419" s="18" t="n">
        <v>10.7</v>
      </c>
      <c r="F1419" s="18" t="n">
        <v>4</v>
      </c>
      <c r="G1419" s="18" t="n">
        <v>7</v>
      </c>
      <c r="H1419" s="18" t="n">
        <v>7</v>
      </c>
      <c r="I1419" s="18" t="n"/>
      <c r="J1419" s="18" t="n"/>
      <c r="K1419" s="19">
        <f>H1419+I1419+J1419</f>
        <v/>
      </c>
      <c r="L1419" s="19">
        <f>K1419-G1419</f>
        <v/>
      </c>
      <c r="M1419" s="20">
        <f>L1419*E1419</f>
        <v/>
      </c>
      <c r="N1419" s="20" t="n">
        <v>50</v>
      </c>
      <c r="O1419" s="20" t="n"/>
      <c r="P1419" s="20">
        <f>O1419-N1419</f>
        <v/>
      </c>
      <c r="Q1419" s="20">
        <f>P1419*E1419</f>
        <v/>
      </c>
      <c r="R1419" s="20" t="n"/>
    </row>
    <row r="1420" ht="20" customHeight="1" s="1">
      <c r="A1420" s="21" t="inlineStr">
        <is>
          <t>21929</t>
        </is>
      </c>
      <c r="B1420" s="22" t="inlineStr">
        <is>
          <t>GRASS</t>
        </is>
      </c>
      <c r="C1420" s="21" t="inlineStr">
        <is>
          <t>4670113608392</t>
        </is>
      </c>
      <c r="D1420" s="22" t="inlineStr">
        <is>
          <t>MyMuse Sac Maskasi berpaedici sos 300ml</t>
        </is>
      </c>
      <c r="E1420" s="23" t="n">
        <v>11.7</v>
      </c>
      <c r="F1420" s="23" t="n">
        <v>4</v>
      </c>
      <c r="G1420" s="23" t="n">
        <v>8</v>
      </c>
      <c r="H1420" s="23" t="n">
        <v>8</v>
      </c>
      <c r="I1420" s="23" t="n"/>
      <c r="J1420" s="23" t="n"/>
      <c r="K1420" s="19">
        <f>H1420+I1420+J1420</f>
        <v/>
      </c>
      <c r="L1420" s="19">
        <f>K1420-G1420</f>
        <v/>
      </c>
      <c r="M1420" s="20">
        <f>L1420*E1420</f>
        <v/>
      </c>
      <c r="N1420" s="20" t="n">
        <v>50</v>
      </c>
      <c r="O1420" s="20" t="n"/>
      <c r="P1420" s="20">
        <f>O1420-N1420</f>
        <v/>
      </c>
      <c r="Q1420" s="20">
        <f>P1420*E1420</f>
        <v/>
      </c>
      <c r="R1420" s="20" t="n"/>
    </row>
    <row r="1421" ht="20" customHeight="1" s="1">
      <c r="A1421" s="16" t="inlineStr">
        <is>
          <t>21930</t>
        </is>
      </c>
      <c r="B1421" s="17" t="inlineStr">
        <is>
          <t>GRASS</t>
        </is>
      </c>
      <c r="C1421" s="16" t="inlineStr">
        <is>
          <t>4670113608538</t>
        </is>
      </c>
      <c r="D1421" s="17" t="inlineStr">
        <is>
          <t>MyMuse Sac Maskasi sulfatsiz mohkemlendici 300ml</t>
        </is>
      </c>
      <c r="E1421" s="18" t="n">
        <v>11.7</v>
      </c>
      <c r="F1421" s="18" t="n">
        <v>4</v>
      </c>
      <c r="G1421" s="18" t="n">
        <v>8</v>
      </c>
      <c r="H1421" s="18" t="n">
        <v>8</v>
      </c>
      <c r="I1421" s="18" t="n"/>
      <c r="J1421" s="18" t="n"/>
      <c r="K1421" s="19">
        <f>H1421+I1421+J1421</f>
        <v/>
      </c>
      <c r="L1421" s="19">
        <f>K1421-G1421</f>
        <v/>
      </c>
      <c r="M1421" s="20">
        <f>L1421*E1421</f>
        <v/>
      </c>
      <c r="N1421" s="20" t="n">
        <v>50</v>
      </c>
      <c r="O1421" s="20" t="n"/>
      <c r="P1421" s="20">
        <f>O1421-N1421</f>
        <v/>
      </c>
      <c r="Q1421" s="20">
        <f>P1421*E1421</f>
        <v/>
      </c>
      <c r="R1421" s="20" t="n"/>
    </row>
    <row r="1422" ht="20" customHeight="1" s="1">
      <c r="A1422" s="21" t="inlineStr">
        <is>
          <t>21931</t>
        </is>
      </c>
      <c r="B1422" s="22" t="inlineStr">
        <is>
          <t>GRASS</t>
        </is>
      </c>
      <c r="C1422" s="21" t="inlineStr">
        <is>
          <t>4670113608545</t>
        </is>
      </c>
      <c r="D1422" s="22" t="inlineStr">
        <is>
          <t>MyMuse Sac Maskasi sacuzadici 300ml</t>
        </is>
      </c>
      <c r="E1422" s="23" t="n">
        <v>11.7</v>
      </c>
      <c r="F1422" s="23" t="n">
        <v>4</v>
      </c>
      <c r="G1422" s="23" t="n">
        <v>8</v>
      </c>
      <c r="H1422" s="23" t="n">
        <v>8</v>
      </c>
      <c r="I1422" s="23" t="n"/>
      <c r="J1422" s="23" t="n"/>
      <c r="K1422" s="19">
        <f>H1422+I1422+J1422</f>
        <v/>
      </c>
      <c r="L1422" s="19">
        <f>K1422-G1422</f>
        <v/>
      </c>
      <c r="M1422" s="20">
        <f>L1422*E1422</f>
        <v/>
      </c>
      <c r="N1422" s="20" t="n">
        <v>50</v>
      </c>
      <c r="O1422" s="20" t="n"/>
      <c r="P1422" s="20">
        <f>O1422-N1422</f>
        <v/>
      </c>
      <c r="Q1422" s="20">
        <f>P1422*E1422</f>
        <v/>
      </c>
      <c r="R1422" s="20" t="n"/>
    </row>
    <row r="1423" ht="20" customHeight="1" s="1">
      <c r="A1423" s="16" t="inlineStr">
        <is>
          <t>21917</t>
        </is>
      </c>
      <c r="B1423" s="17" t="inlineStr">
        <is>
          <t>GRASS</t>
        </is>
      </c>
      <c r="C1423" s="16" t="inlineStr">
        <is>
          <t>4670113611651</t>
        </is>
      </c>
      <c r="D1423" s="17" t="inlineStr">
        <is>
          <t>MyMuse dus geli inamli ve musteqil 250ml</t>
        </is>
      </c>
      <c r="E1423" s="18" t="n">
        <v>6.4</v>
      </c>
      <c r="F1423" s="18" t="n">
        <v>6</v>
      </c>
      <c r="G1423" s="18" t="n">
        <v>67</v>
      </c>
      <c r="H1423" s="18" t="n">
        <v>67</v>
      </c>
      <c r="I1423" s="18" t="n"/>
      <c r="J1423" s="18" t="n"/>
      <c r="K1423" s="19">
        <f>H1423+I1423+J1423</f>
        <v/>
      </c>
      <c r="L1423" s="19">
        <f>K1423-G1423</f>
        <v/>
      </c>
      <c r="M1423" s="20">
        <f>L1423*E1423</f>
        <v/>
      </c>
      <c r="N1423" s="20" t="n">
        <v>50</v>
      </c>
      <c r="O1423" s="20" t="n"/>
      <c r="P1423" s="20">
        <f>O1423-N1423</f>
        <v/>
      </c>
      <c r="Q1423" s="20">
        <f>P1423*E1423</f>
        <v/>
      </c>
      <c r="R1423" s="20" t="n"/>
    </row>
    <row r="1424" ht="20" customHeight="1" s="1">
      <c r="A1424" s="21" t="inlineStr">
        <is>
          <t>21918</t>
        </is>
      </c>
      <c r="B1424" s="22" t="inlineStr">
        <is>
          <t>GRASS</t>
        </is>
      </c>
      <c r="C1424" s="21" t="inlineStr">
        <is>
          <t>4670113611668</t>
        </is>
      </c>
      <c r="D1424" s="22" t="inlineStr">
        <is>
          <t>MyMuse dus geli rahat ve dincelmis 250ml</t>
        </is>
      </c>
      <c r="E1424" s="23" t="n">
        <v>6.4</v>
      </c>
      <c r="F1424" s="23" t="n">
        <v>6</v>
      </c>
      <c r="G1424" s="23" t="n">
        <v>63</v>
      </c>
      <c r="H1424" s="23" t="n">
        <v>63</v>
      </c>
      <c r="I1424" s="23" t="n"/>
      <c r="J1424" s="23" t="n"/>
      <c r="K1424" s="19">
        <f>H1424+I1424+J1424</f>
        <v/>
      </c>
      <c r="L1424" s="19">
        <f>K1424-G1424</f>
        <v/>
      </c>
      <c r="M1424" s="20">
        <f>L1424*E1424</f>
        <v/>
      </c>
      <c r="N1424" s="20" t="n">
        <v>50</v>
      </c>
      <c r="O1424" s="20" t="n"/>
      <c r="P1424" s="20">
        <f>O1424-N1424</f>
        <v/>
      </c>
      <c r="Q1424" s="20">
        <f>P1424*E1424</f>
        <v/>
      </c>
      <c r="R1424" s="20" t="n"/>
    </row>
    <row r="1425" ht="20" customHeight="1" s="1">
      <c r="A1425" s="16" t="inlineStr">
        <is>
          <t>21919</t>
        </is>
      </c>
      <c r="B1425" s="17" t="inlineStr">
        <is>
          <t>GRASS</t>
        </is>
      </c>
      <c r="C1425" s="16" t="inlineStr">
        <is>
          <t>4670113611675</t>
        </is>
      </c>
      <c r="D1425" s="17" t="inlineStr">
        <is>
          <t>MyMuse dus geli yenilenmis ve sen 250ml</t>
        </is>
      </c>
      <c r="E1425" s="18" t="n">
        <v>6.4</v>
      </c>
      <c r="F1425" s="18" t="n">
        <v>6</v>
      </c>
      <c r="G1425" s="18" t="n">
        <v>72</v>
      </c>
      <c r="H1425" s="18" t="n">
        <v>72</v>
      </c>
      <c r="I1425" s="18" t="n"/>
      <c r="J1425" s="18" t="n"/>
      <c r="K1425" s="19">
        <f>H1425+I1425+J1425</f>
        <v/>
      </c>
      <c r="L1425" s="19">
        <f>K1425-G1425</f>
        <v/>
      </c>
      <c r="M1425" s="20">
        <f>L1425*E1425</f>
        <v/>
      </c>
      <c r="N1425" s="20" t="n">
        <v>50</v>
      </c>
      <c r="O1425" s="20" t="n"/>
      <c r="P1425" s="20">
        <f>O1425-N1425</f>
        <v/>
      </c>
      <c r="Q1425" s="20">
        <f>P1425*E1425</f>
        <v/>
      </c>
      <c r="R1425" s="20" t="n"/>
    </row>
    <row r="1426" ht="20" customHeight="1" s="1">
      <c r="A1426" s="21" t="inlineStr">
        <is>
          <t>21921</t>
        </is>
      </c>
      <c r="B1426" s="22" t="inlineStr">
        <is>
          <t>GRASS</t>
        </is>
      </c>
      <c r="C1426" s="21" t="inlineStr">
        <is>
          <t>4670113611699</t>
        </is>
      </c>
      <c r="D1426" s="22" t="inlineStr">
        <is>
          <t>MyMuse dus geli enerjili ve gumrah 250ml</t>
        </is>
      </c>
      <c r="E1426" s="23" t="n">
        <v>6.4</v>
      </c>
      <c r="F1426" s="23" t="n">
        <v>6</v>
      </c>
      <c r="G1426" s="23" t="n">
        <v>68</v>
      </c>
      <c r="H1426" s="23" t="n">
        <v>68</v>
      </c>
      <c r="I1426" s="23" t="n"/>
      <c r="J1426" s="23" t="n"/>
      <c r="K1426" s="19">
        <f>H1426+I1426+J1426</f>
        <v/>
      </c>
      <c r="L1426" s="19">
        <f>K1426-G1426</f>
        <v/>
      </c>
      <c r="M1426" s="20">
        <f>L1426*E1426</f>
        <v/>
      </c>
      <c r="N1426" s="20" t="n">
        <v>50</v>
      </c>
      <c r="O1426" s="20" t="n"/>
      <c r="P1426" s="20">
        <f>O1426-N1426</f>
        <v/>
      </c>
      <c r="Q1426" s="20">
        <f>P1426*E1426</f>
        <v/>
      </c>
      <c r="R1426" s="20" t="n"/>
    </row>
    <row r="1427" ht="20" customHeight="1" s="1">
      <c r="A1427" s="16" t="inlineStr">
        <is>
          <t>21922</t>
        </is>
      </c>
      <c r="B1427" s="17" t="inlineStr">
        <is>
          <t>GRASS</t>
        </is>
      </c>
      <c r="C1427" s="16" t="inlineStr">
        <is>
          <t>4670113611705</t>
        </is>
      </c>
      <c r="D1427" s="17" t="inlineStr">
        <is>
          <t>MyMuse dus geli qaygisiz ve nadinc 250ml</t>
        </is>
      </c>
      <c r="E1427" s="18" t="n">
        <v>6.4</v>
      </c>
      <c r="F1427" s="18" t="n">
        <v>6</v>
      </c>
      <c r="G1427" s="18" t="n">
        <v>67</v>
      </c>
      <c r="H1427" s="18" t="n">
        <v>67</v>
      </c>
      <c r="I1427" s="18" t="n"/>
      <c r="J1427" s="18" t="n"/>
      <c r="K1427" s="19">
        <f>H1427+I1427+J1427</f>
        <v/>
      </c>
      <c r="L1427" s="19">
        <f>K1427-G1427</f>
        <v/>
      </c>
      <c r="M1427" s="20">
        <f>L1427*E1427</f>
        <v/>
      </c>
      <c r="N1427" s="20" t="n">
        <v>50</v>
      </c>
      <c r="O1427" s="20" t="n"/>
      <c r="P1427" s="20">
        <f>O1427-N1427</f>
        <v/>
      </c>
      <c r="Q1427" s="20">
        <f>P1427*E1427</f>
        <v/>
      </c>
      <c r="R1427" s="20" t="n"/>
    </row>
    <row r="1428" ht="20" customHeight="1" s="1">
      <c r="A1428" s="21" t="inlineStr">
        <is>
          <t>12694</t>
        </is>
      </c>
      <c r="B1428" s="22" t="inlineStr">
        <is>
          <t>Ultra Compakt</t>
        </is>
      </c>
      <c r="C1428" s="21" t="inlineStr">
        <is>
          <t>8697420532789</t>
        </is>
      </c>
      <c r="D1428" s="22" t="inlineStr">
        <is>
          <t>U/C Nemli salfetka Angels Advantagepack 120pcs</t>
        </is>
      </c>
      <c r="E1428" s="23" t="n">
        <v>3.7</v>
      </c>
      <c r="F1428" s="23" t="n">
        <v>12</v>
      </c>
      <c r="G1428" s="23" t="n">
        <v>72</v>
      </c>
      <c r="H1428" s="23" t="n"/>
      <c r="I1428" s="23" t="n"/>
      <c r="J1428" s="23" t="n"/>
      <c r="K1428" s="19">
        <f>H1428+I1428+J1428</f>
        <v/>
      </c>
      <c r="L1428" s="19">
        <f>K1428-G1428</f>
        <v/>
      </c>
      <c r="M1428" s="20">
        <f>L1428*E1428</f>
        <v/>
      </c>
      <c r="N1428" s="20" t="n">
        <v>50</v>
      </c>
      <c r="O1428" s="20" t="n"/>
      <c r="P1428" s="20">
        <f>O1428-N1428</f>
        <v/>
      </c>
      <c r="Q1428" s="20">
        <f>P1428*E1428</f>
        <v/>
      </c>
      <c r="R1428" s="20" t="n"/>
    </row>
    <row r="1429" ht="20" customHeight="1" s="1">
      <c r="A1429" s="16" t="inlineStr">
        <is>
          <t>14769</t>
        </is>
      </c>
      <c r="B1429" s="17" t="inlineStr">
        <is>
          <t>Ultra Compakt</t>
        </is>
      </c>
      <c r="C1429" s="16" t="inlineStr">
        <is>
          <t>8697420534400</t>
        </is>
      </c>
      <c r="D1429" s="17" t="inlineStr">
        <is>
          <t>U/C nemli salfetka Ottoman  120 ed.</t>
        </is>
      </c>
      <c r="E1429" s="18" t="n">
        <v>3.7</v>
      </c>
      <c r="F1429" s="18" t="n">
        <v>12</v>
      </c>
      <c r="G1429" s="18" t="n">
        <v>252</v>
      </c>
      <c r="H1429" s="18" t="n"/>
      <c r="I1429" s="18" t="n"/>
      <c r="J1429" s="18" t="n"/>
      <c r="K1429" s="19">
        <f>H1429+I1429+J1429</f>
        <v/>
      </c>
      <c r="L1429" s="19">
        <f>K1429-G1429</f>
        <v/>
      </c>
      <c r="M1429" s="20">
        <f>L1429*E1429</f>
        <v/>
      </c>
      <c r="N1429" s="20" t="n">
        <v>50</v>
      </c>
      <c r="O1429" s="20" t="n"/>
      <c r="P1429" s="20">
        <f>O1429-N1429</f>
        <v/>
      </c>
      <c r="Q1429" s="20">
        <f>P1429*E1429</f>
        <v/>
      </c>
      <c r="R1429" s="20" t="n"/>
    </row>
    <row r="1430" ht="20" customHeight="1" s="1">
      <c r="A1430" s="21" t="inlineStr">
        <is>
          <t>14743</t>
        </is>
      </c>
      <c r="B1430" s="22" t="inlineStr">
        <is>
          <t>Ultra Compakt</t>
        </is>
      </c>
      <c r="C1430" s="21" t="inlineStr">
        <is>
          <t>8697420534288</t>
        </is>
      </c>
      <c r="D1430" s="22" t="inlineStr">
        <is>
          <t>U/C nemli salfetka Apple Blossom 120 ed</t>
        </is>
      </c>
      <c r="E1430" s="23" t="n">
        <v>3.7</v>
      </c>
      <c r="F1430" s="23" t="n">
        <v>12</v>
      </c>
      <c r="G1430" s="23" t="n">
        <v>34</v>
      </c>
      <c r="H1430" s="23" t="n"/>
      <c r="I1430" s="23" t="n"/>
      <c r="J1430" s="23" t="n"/>
      <c r="K1430" s="19">
        <f>H1430+I1430+J1430</f>
        <v/>
      </c>
      <c r="L1430" s="19">
        <f>K1430-G1430</f>
        <v/>
      </c>
      <c r="M1430" s="20">
        <f>L1430*E1430</f>
        <v/>
      </c>
      <c r="N1430" s="20" t="n">
        <v>50</v>
      </c>
      <c r="O1430" s="20" t="n"/>
      <c r="P1430" s="20">
        <f>O1430-N1430</f>
        <v/>
      </c>
      <c r="Q1430" s="20">
        <f>P1430*E1430</f>
        <v/>
      </c>
      <c r="R1430" s="20" t="n"/>
    </row>
    <row r="1431" ht="20" customHeight="1" s="1">
      <c r="A1431" s="16" t="inlineStr">
        <is>
          <t>14751</t>
        </is>
      </c>
      <c r="B1431" s="17" t="inlineStr">
        <is>
          <t>Ultra Compakt</t>
        </is>
      </c>
      <c r="C1431" s="16" t="inlineStr">
        <is>
          <t>8697420534738</t>
        </is>
      </c>
      <c r="D1431" s="17" t="inlineStr">
        <is>
          <t>U/C Nem salfetka Ecopack q-li 120 pcs</t>
        </is>
      </c>
      <c r="E1431" s="18" t="n">
        <v>3</v>
      </c>
      <c r="F1431" s="18" t="n">
        <v>12</v>
      </c>
      <c r="G1431" s="18" t="n">
        <v>68</v>
      </c>
      <c r="H1431" s="18" t="n"/>
      <c r="I1431" s="18" t="n"/>
      <c r="J1431" s="18" t="n"/>
      <c r="K1431" s="19">
        <f>H1431+I1431+J1431</f>
        <v/>
      </c>
      <c r="L1431" s="19">
        <f>K1431-G1431</f>
        <v/>
      </c>
      <c r="M1431" s="20">
        <f>L1431*E1431</f>
        <v/>
      </c>
      <c r="N1431" s="20" t="n">
        <v>50</v>
      </c>
      <c r="O1431" s="20" t="n"/>
      <c r="P1431" s="20">
        <f>O1431-N1431</f>
        <v/>
      </c>
      <c r="Q1431" s="20">
        <f>P1431*E1431</f>
        <v/>
      </c>
      <c r="R1431" s="20" t="n"/>
    </row>
    <row r="1432" ht="20" customHeight="1" s="1">
      <c r="A1432" s="21" t="inlineStr">
        <is>
          <t>18918</t>
        </is>
      </c>
      <c r="B1432" s="22" t="inlineStr">
        <is>
          <t>Ultra Compakt</t>
        </is>
      </c>
      <c r="C1432" s="21" t="inlineStr">
        <is>
          <t>8697420535711</t>
        </is>
      </c>
      <c r="D1432" s="22" t="inlineStr">
        <is>
          <t>U/C Nemli salfetka Momo Kremli q-li 120 pcs</t>
        </is>
      </c>
      <c r="E1432" s="23" t="n">
        <v>3.7</v>
      </c>
      <c r="F1432" s="23" t="n">
        <v>12</v>
      </c>
      <c r="G1432" s="23" t="n">
        <v>10</v>
      </c>
      <c r="H1432" s="23" t="n"/>
      <c r="I1432" s="23" t="n"/>
      <c r="J1432" s="23" t="n"/>
      <c r="K1432" s="19" t="n"/>
      <c r="L1432" s="19" t="n"/>
      <c r="M1432" s="20" t="n"/>
      <c r="N1432" s="20" t="n">
        <v>50</v>
      </c>
      <c r="O1432" s="20" t="n"/>
      <c r="P1432" s="20">
        <f>O1432-N1432</f>
        <v/>
      </c>
      <c r="Q1432" s="20">
        <f>P1432*E1432</f>
        <v/>
      </c>
      <c r="R1432" s="20" t="n"/>
    </row>
    <row r="1433" ht="20" customHeight="1" s="1">
      <c r="A1433" s="16" t="inlineStr">
        <is>
          <t>14746</t>
        </is>
      </c>
      <c r="B1433" s="17" t="inlineStr">
        <is>
          <t>Ultra Compakt</t>
        </is>
      </c>
      <c r="C1433" s="16" t="inlineStr">
        <is>
          <t>8697420532543</t>
        </is>
      </c>
      <c r="D1433" s="17" t="inlineStr">
        <is>
          <t>U/C nemli salfetka Camomile 100 ed.</t>
        </is>
      </c>
      <c r="E1433" s="18" t="n">
        <v>3.4</v>
      </c>
      <c r="F1433" s="18" t="n">
        <v>12</v>
      </c>
      <c r="G1433" s="18" t="n">
        <v>45</v>
      </c>
      <c r="H1433" s="18" t="n"/>
      <c r="I1433" s="18" t="n"/>
      <c r="J1433" s="18" t="n"/>
      <c r="K1433" s="19">
        <f>H1433+I1433+J1433</f>
        <v/>
      </c>
      <c r="L1433" s="19">
        <f>K1433-G1433</f>
        <v/>
      </c>
      <c r="M1433" s="20">
        <f>L1433*E1433</f>
        <v/>
      </c>
      <c r="N1433" s="20" t="n">
        <v>50</v>
      </c>
      <c r="O1433" s="20" t="n"/>
      <c r="P1433" s="20">
        <f>O1433-N1433</f>
        <v/>
      </c>
      <c r="Q1433" s="20">
        <f>P1433*E1433</f>
        <v/>
      </c>
      <c r="R1433" s="20" t="n"/>
    </row>
    <row r="1434" ht="20" customHeight="1" s="1">
      <c r="A1434" s="21" t="inlineStr">
        <is>
          <t>14771</t>
        </is>
      </c>
      <c r="B1434" s="22" t="inlineStr">
        <is>
          <t>Ultra Compakt</t>
        </is>
      </c>
      <c r="C1434" s="21" t="inlineStr">
        <is>
          <t>8697420533618</t>
        </is>
      </c>
      <c r="D1434" s="22" t="inlineStr">
        <is>
          <t>U/C nemli salfetka Ottoman 100 ed.</t>
        </is>
      </c>
      <c r="E1434" s="23" t="n">
        <v>3.3</v>
      </c>
      <c r="F1434" s="23" t="n">
        <v>12</v>
      </c>
      <c r="G1434" s="23" t="n">
        <v>181</v>
      </c>
      <c r="H1434" s="23" t="n"/>
      <c r="I1434" s="23" t="n"/>
      <c r="J1434" s="23" t="n"/>
      <c r="K1434" s="19">
        <f>H1434+I1434+J1434</f>
        <v/>
      </c>
      <c r="L1434" s="19">
        <f>K1434-G1434</f>
        <v/>
      </c>
      <c r="M1434" s="20">
        <f>L1434*E1434</f>
        <v/>
      </c>
      <c r="N1434" s="20" t="n">
        <v>50</v>
      </c>
      <c r="O1434" s="20" t="n"/>
      <c r="P1434" s="20">
        <f>O1434-N1434</f>
        <v/>
      </c>
      <c r="Q1434" s="20">
        <f>P1434*E1434</f>
        <v/>
      </c>
      <c r="R1434" s="20" t="n"/>
    </row>
    <row r="1435" ht="20" customHeight="1" s="1">
      <c r="A1435" s="16" t="inlineStr">
        <is>
          <t>12703</t>
        </is>
      </c>
      <c r="B1435" s="17" t="inlineStr">
        <is>
          <t>Ultra Compakt</t>
        </is>
      </c>
      <c r="C1435" s="16" t="inlineStr">
        <is>
          <t>8697420533021</t>
        </is>
      </c>
      <c r="D1435" s="17" t="inlineStr">
        <is>
          <t>U/C nemli salfetka Rose (parfum) 100 ed.</t>
        </is>
      </c>
      <c r="E1435" s="18" t="n">
        <v>3.3</v>
      </c>
      <c r="F1435" s="18" t="n">
        <v>12</v>
      </c>
      <c r="G1435" s="18" t="n">
        <v>30</v>
      </c>
      <c r="H1435" s="18" t="n"/>
      <c r="I1435" s="18" t="n"/>
      <c r="J1435" s="18" t="n"/>
      <c r="K1435" s="19">
        <f>H1435+I1435+J1435</f>
        <v/>
      </c>
      <c r="L1435" s="19">
        <f>K1435-G1435</f>
        <v/>
      </c>
      <c r="M1435" s="20">
        <f>L1435*E1435</f>
        <v/>
      </c>
      <c r="N1435" s="20" t="n">
        <v>50</v>
      </c>
      <c r="O1435" s="20" t="n"/>
      <c r="P1435" s="20">
        <f>O1435-N1435</f>
        <v/>
      </c>
      <c r="Q1435" s="20">
        <f>P1435*E1435</f>
        <v/>
      </c>
      <c r="R1435" s="20" t="n"/>
    </row>
    <row r="1436" ht="20" customHeight="1" s="1">
      <c r="A1436" s="21" t="inlineStr">
        <is>
          <t>14066</t>
        </is>
      </c>
      <c r="B1436" s="22" t="inlineStr">
        <is>
          <t>Ultra Compakt</t>
        </is>
      </c>
      <c r="C1436" s="21" t="inlineStr">
        <is>
          <t>8697420530143</t>
        </is>
      </c>
      <c r="D1436" s="22" t="inlineStr">
        <is>
          <t>U/C nemli salfetka Antibakterial 100 ed</t>
        </is>
      </c>
      <c r="E1436" s="23" t="n">
        <v>3.8</v>
      </c>
      <c r="F1436" s="23" t="n">
        <v>12</v>
      </c>
      <c r="G1436" s="23" t="n">
        <v>67</v>
      </c>
      <c r="H1436" s="23" t="n"/>
      <c r="I1436" s="23" t="n"/>
      <c r="J1436" s="23" t="n"/>
      <c r="K1436" s="19" t="n"/>
      <c r="L1436" s="19" t="n"/>
      <c r="M1436" s="20" t="n"/>
      <c r="N1436" s="20" t="n">
        <v>50</v>
      </c>
      <c r="O1436" s="20" t="n"/>
      <c r="P1436" s="20">
        <f>O1436-N1436</f>
        <v/>
      </c>
      <c r="Q1436" s="20">
        <f>P1436*E1436</f>
        <v/>
      </c>
      <c r="R1436" s="20" t="n"/>
    </row>
    <row r="1437" ht="20" customHeight="1" s="1">
      <c r="A1437" s="16" t="inlineStr">
        <is>
          <t>12722</t>
        </is>
      </c>
      <c r="B1437" s="17" t="inlineStr">
        <is>
          <t>Ultra Compakt</t>
        </is>
      </c>
      <c r="C1437" s="16" t="inlineStr">
        <is>
          <t>8697420534646</t>
        </is>
      </c>
      <c r="D1437" s="17" t="inlineStr">
        <is>
          <t>U/C nemli salfetka Poem Bouqainvillea 100 ed.</t>
        </is>
      </c>
      <c r="E1437" s="18" t="n">
        <v>3.3</v>
      </c>
      <c r="F1437" s="18" t="n">
        <v>12</v>
      </c>
      <c r="G1437" s="18" t="n">
        <v>12</v>
      </c>
      <c r="H1437" s="18" t="n"/>
      <c r="I1437" s="18" t="n"/>
      <c r="J1437" s="18" t="n"/>
      <c r="K1437" s="19">
        <f>H1437+I1437+J1437</f>
        <v/>
      </c>
      <c r="L1437" s="19">
        <f>K1437-G1437</f>
        <v/>
      </c>
      <c r="M1437" s="20">
        <f>L1437*E1437</f>
        <v/>
      </c>
      <c r="N1437" s="20" t="n">
        <v>50</v>
      </c>
      <c r="O1437" s="20" t="n"/>
      <c r="P1437" s="20">
        <f>O1437-N1437</f>
        <v/>
      </c>
      <c r="Q1437" s="20">
        <f>P1437*E1437</f>
        <v/>
      </c>
      <c r="R1437" s="20" t="n"/>
    </row>
    <row r="1438" ht="20" customHeight="1" s="1">
      <c r="A1438" s="21" t="inlineStr">
        <is>
          <t>14775</t>
        </is>
      </c>
      <c r="B1438" s="22" t="inlineStr">
        <is>
          <t>Ultra Compakt</t>
        </is>
      </c>
      <c r="C1438" s="21" t="inlineStr">
        <is>
          <t>8697420534653</t>
        </is>
      </c>
      <c r="D1438" s="22" t="inlineStr">
        <is>
          <t>U/C nemli salfetka Poem Jasmine 100 ed.</t>
        </is>
      </c>
      <c r="E1438" s="23" t="n">
        <v>3.3</v>
      </c>
      <c r="F1438" s="23" t="n">
        <v>12</v>
      </c>
      <c r="G1438" s="23" t="n">
        <v>51</v>
      </c>
      <c r="H1438" s="23" t="n"/>
      <c r="I1438" s="23" t="n"/>
      <c r="J1438" s="23" t="n"/>
      <c r="K1438" s="19">
        <f>H1438+I1438+J1438</f>
        <v/>
      </c>
      <c r="L1438" s="19">
        <f>K1438-G1438</f>
        <v/>
      </c>
      <c r="M1438" s="20">
        <f>L1438*E1438</f>
        <v/>
      </c>
      <c r="N1438" s="20" t="n">
        <v>50</v>
      </c>
      <c r="O1438" s="20" t="n"/>
      <c r="P1438" s="20">
        <f>O1438-N1438</f>
        <v/>
      </c>
      <c r="Q1438" s="20">
        <f>P1438*E1438</f>
        <v/>
      </c>
      <c r="R1438" s="20" t="n"/>
    </row>
    <row r="1439" ht="20" customHeight="1" s="1">
      <c r="A1439" s="16" t="inlineStr">
        <is>
          <t>14778</t>
        </is>
      </c>
      <c r="B1439" s="17" t="inlineStr">
        <is>
          <t>Ultra Compakt</t>
        </is>
      </c>
      <c r="C1439" s="16" t="inlineStr">
        <is>
          <t>8697420534660</t>
        </is>
      </c>
      <c r="D1439" s="17" t="inlineStr">
        <is>
          <t>U/C nemli salfetka Poem Lavander 100 ed.</t>
        </is>
      </c>
      <c r="E1439" s="18" t="n">
        <v>3.3</v>
      </c>
      <c r="F1439" s="18" t="n">
        <v>12</v>
      </c>
      <c r="G1439" s="18" t="n">
        <v>39</v>
      </c>
      <c r="H1439" s="18" t="n"/>
      <c r="I1439" s="18" t="n"/>
      <c r="J1439" s="18" t="n"/>
      <c r="K1439" s="19" t="n"/>
      <c r="L1439" s="19" t="n"/>
      <c r="M1439" s="20" t="n"/>
      <c r="N1439" s="20" t="n">
        <v>50</v>
      </c>
      <c r="O1439" s="20" t="n"/>
      <c r="P1439" s="20">
        <f>O1439-N1439</f>
        <v/>
      </c>
      <c r="Q1439" s="20">
        <f>P1439*E1439</f>
        <v/>
      </c>
      <c r="R1439" s="20" t="n"/>
    </row>
    <row r="1440" ht="20" customHeight="1" s="1">
      <c r="A1440" s="21" t="inlineStr">
        <is>
          <t>14753</t>
        </is>
      </c>
      <c r="B1440" s="22" t="inlineStr">
        <is>
          <t>Ultra Compakt</t>
        </is>
      </c>
      <c r="C1440" s="21" t="inlineStr">
        <is>
          <t>8697420534721</t>
        </is>
      </c>
      <c r="D1440" s="22" t="inlineStr">
        <is>
          <t>U/C nemli salfetka Ecopack 100 ed.</t>
        </is>
      </c>
      <c r="E1440" s="23" t="n">
        <v>2.6</v>
      </c>
      <c r="F1440" s="23" t="n">
        <v>12</v>
      </c>
      <c r="G1440" s="23" t="n">
        <v>31</v>
      </c>
      <c r="H1440" s="23" t="n"/>
      <c r="I1440" s="23" t="n"/>
      <c r="J1440" s="23" t="n"/>
      <c r="K1440" s="19">
        <f>H1440+I1440+J1440</f>
        <v/>
      </c>
      <c r="L1440" s="19">
        <f>K1440-G1440</f>
        <v/>
      </c>
      <c r="M1440" s="20">
        <f>L1440*E1440</f>
        <v/>
      </c>
      <c r="N1440" s="20" t="n">
        <v>50</v>
      </c>
      <c r="O1440" s="20" t="n"/>
      <c r="P1440" s="20">
        <f>O1440-N1440</f>
        <v/>
      </c>
      <c r="Q1440" s="20">
        <f>P1440*E1440</f>
        <v/>
      </c>
      <c r="R1440" s="20" t="n"/>
    </row>
    <row r="1441" ht="20" customHeight="1" s="1">
      <c r="A1441" s="16" t="inlineStr">
        <is>
          <t>18598</t>
        </is>
      </c>
      <c r="B1441" s="17" t="inlineStr">
        <is>
          <t>Ultra Compakt</t>
        </is>
      </c>
      <c r="C1441" s="16" t="inlineStr">
        <is>
          <t>8697420535520</t>
        </is>
      </c>
      <c r="D1441" s="17" t="inlineStr">
        <is>
          <t>U/C Nemli salfet Romantic Rose q-li 100pcs</t>
        </is>
      </c>
      <c r="E1441" s="18" t="n">
        <v>3.4</v>
      </c>
      <c r="F1441" s="18" t="n">
        <v>12</v>
      </c>
      <c r="G1441" s="18" t="n">
        <v>48</v>
      </c>
      <c r="H1441" s="18" t="n"/>
      <c r="I1441" s="18" t="n"/>
      <c r="J1441" s="18" t="n"/>
      <c r="K1441" s="19">
        <f>H1441+I1441+J1441</f>
        <v/>
      </c>
      <c r="L1441" s="19">
        <f>K1441-G1441</f>
        <v/>
      </c>
      <c r="M1441" s="20">
        <f>L1441*E1441</f>
        <v/>
      </c>
      <c r="N1441" s="20" t="n">
        <v>50</v>
      </c>
      <c r="O1441" s="20" t="n"/>
      <c r="P1441" s="20">
        <f>O1441-N1441</f>
        <v/>
      </c>
      <c r="Q1441" s="20">
        <f>P1441*E1441</f>
        <v/>
      </c>
      <c r="R1441" s="20" t="n"/>
    </row>
    <row r="1442" ht="20" customHeight="1" s="1">
      <c r="A1442" s="21" t="inlineStr">
        <is>
          <t>14750</t>
        </is>
      </c>
      <c r="B1442" s="22" t="inlineStr">
        <is>
          <t>Ultra Compakt</t>
        </is>
      </c>
      <c r="C1442" s="21" t="inlineStr">
        <is>
          <t>8697420532604</t>
        </is>
      </c>
      <c r="D1442" s="22" t="inlineStr">
        <is>
          <t>U/C nemli salfetka Cherry Blossom 90 ed.</t>
        </is>
      </c>
      <c r="E1442" s="23" t="n">
        <v>2.8</v>
      </c>
      <c r="F1442" s="23" t="n">
        <v>12</v>
      </c>
      <c r="G1442" s="23" t="n">
        <v>24</v>
      </c>
      <c r="H1442" s="23" t="n"/>
      <c r="I1442" s="23" t="n"/>
      <c r="J1442" s="23" t="n"/>
      <c r="K1442" s="19" t="n"/>
      <c r="L1442" s="19" t="n"/>
      <c r="M1442" s="20" t="n"/>
      <c r="N1442" s="20" t="n">
        <v>50</v>
      </c>
      <c r="O1442" s="20" t="n"/>
      <c r="P1442" s="20">
        <f>O1442-N1442</f>
        <v/>
      </c>
      <c r="Q1442" s="20">
        <f>P1442*E1442</f>
        <v/>
      </c>
      <c r="R1442" s="20" t="n"/>
    </row>
    <row r="1443" ht="20" customHeight="1" s="1">
      <c r="A1443" s="16" t="inlineStr">
        <is>
          <t>14704</t>
        </is>
      </c>
      <c r="B1443" s="17" t="inlineStr">
        <is>
          <t>Ultra Compakt</t>
        </is>
      </c>
      <c r="C1443" s="16" t="inlineStr">
        <is>
          <t>8697420531522</t>
        </is>
      </c>
      <c r="D1443" s="17" t="inlineStr">
        <is>
          <t>U/C Nemli salfetka Baby qapaqli 72 pcs</t>
        </is>
      </c>
      <c r="E1443" s="18" t="n">
        <v>2.1</v>
      </c>
      <c r="F1443" s="18" t="n">
        <v>24</v>
      </c>
      <c r="G1443" s="18" t="n">
        <v>53</v>
      </c>
      <c r="H1443" s="18" t="n"/>
      <c r="I1443" s="18" t="n"/>
      <c r="J1443" s="18" t="n"/>
      <c r="K1443" s="19">
        <f>H1443+I1443+J1443</f>
        <v/>
      </c>
      <c r="L1443" s="19">
        <f>K1443-G1443</f>
        <v/>
      </c>
      <c r="M1443" s="20">
        <f>L1443*E1443</f>
        <v/>
      </c>
      <c r="N1443" s="20" t="n">
        <v>50</v>
      </c>
      <c r="O1443" s="20" t="n"/>
      <c r="P1443" s="20">
        <f>O1443-N1443</f>
        <v/>
      </c>
      <c r="Q1443" s="20">
        <f>P1443*E1443</f>
        <v/>
      </c>
      <c r="R1443" s="20" t="n"/>
    </row>
    <row r="1444" ht="20" customHeight="1" s="1">
      <c r="A1444" s="21" t="inlineStr">
        <is>
          <t>14745</t>
        </is>
      </c>
      <c r="B1444" s="22" t="inlineStr">
        <is>
          <t>Ultra Compakt</t>
        </is>
      </c>
      <c r="C1444" s="21" t="inlineStr">
        <is>
          <t>8697420532437</t>
        </is>
      </c>
      <c r="D1444" s="22" t="inlineStr">
        <is>
          <t>U/C nemli salfetka baby Cream Lation 72 ed.</t>
        </is>
      </c>
      <c r="E1444" s="23" t="n">
        <v>2.55</v>
      </c>
      <c r="F1444" s="23" t="n">
        <v>12</v>
      </c>
      <c r="G1444" s="23" t="n">
        <v>24</v>
      </c>
      <c r="H1444" s="23" t="n"/>
      <c r="I1444" s="23" t="n"/>
      <c r="J1444" s="23" t="n"/>
      <c r="K1444" s="19" t="n"/>
      <c r="L1444" s="19" t="n"/>
      <c r="M1444" s="20" t="n"/>
      <c r="N1444" s="20" t="n">
        <v>50</v>
      </c>
      <c r="O1444" s="20" t="n"/>
      <c r="P1444" s="20">
        <f>O1444-N1444</f>
        <v/>
      </c>
      <c r="Q1444" s="20">
        <f>P1444*E1444</f>
        <v/>
      </c>
      <c r="R1444" s="20" t="n"/>
    </row>
    <row r="1445" ht="20" customHeight="1" s="1">
      <c r="A1445" s="16" t="inlineStr">
        <is>
          <t>14692</t>
        </is>
      </c>
      <c r="B1445" s="17" t="inlineStr">
        <is>
          <t>Ultra Compakt</t>
        </is>
      </c>
      <c r="C1445" s="16" t="inlineStr">
        <is>
          <t>8697420531188</t>
        </is>
      </c>
      <c r="D1445" s="17" t="inlineStr">
        <is>
          <t>U/C Nemli baby Camomile qapaqli 72 pcs</t>
        </is>
      </c>
      <c r="E1445" s="18" t="n">
        <v>2.55</v>
      </c>
      <c r="F1445" s="18" t="n">
        <v>12</v>
      </c>
      <c r="G1445" s="18" t="n">
        <v>50</v>
      </c>
      <c r="H1445" s="18" t="n"/>
      <c r="I1445" s="18" t="n"/>
      <c r="J1445" s="18" t="n"/>
      <c r="K1445" s="19">
        <f>H1445+I1445+J1445</f>
        <v/>
      </c>
      <c r="L1445" s="19">
        <f>K1445-G1445</f>
        <v/>
      </c>
      <c r="M1445" s="20">
        <f>L1445*E1445</f>
        <v/>
      </c>
      <c r="N1445" s="20" t="n">
        <v>50</v>
      </c>
      <c r="O1445" s="20" t="n"/>
      <c r="P1445" s="20">
        <f>O1445-N1445</f>
        <v/>
      </c>
      <c r="Q1445" s="20">
        <f>P1445*E1445</f>
        <v/>
      </c>
      <c r="R1445" s="20" t="n"/>
    </row>
    <row r="1446" ht="20" customHeight="1" s="1">
      <c r="A1446" s="21" t="inlineStr">
        <is>
          <t>14752</t>
        </is>
      </c>
      <c r="B1446" s="22" t="inlineStr">
        <is>
          <t>Ultra Compakt</t>
        </is>
      </c>
      <c r="C1446" s="21" t="inlineStr">
        <is>
          <t>8697420534714</t>
        </is>
      </c>
      <c r="D1446" s="22" t="inlineStr">
        <is>
          <t>U/C nemli salfetka Ecopack  72 ed.</t>
        </is>
      </c>
      <c r="E1446" s="23" t="n">
        <v>1.6</v>
      </c>
      <c r="F1446" s="23" t="n">
        <v>24</v>
      </c>
      <c r="G1446" s="23" t="n">
        <v>27</v>
      </c>
      <c r="H1446" s="23" t="n"/>
      <c r="I1446" s="23" t="n"/>
      <c r="J1446" s="23" t="n"/>
      <c r="K1446" s="19">
        <f>H1446+I1446+J1446</f>
        <v/>
      </c>
      <c r="L1446" s="19">
        <f>K1446-G1446</f>
        <v/>
      </c>
      <c r="M1446" s="20">
        <f>L1446*E1446</f>
        <v/>
      </c>
      <c r="N1446" s="20" t="n">
        <v>50</v>
      </c>
      <c r="O1446" s="20" t="n"/>
      <c r="P1446" s="20">
        <f>O1446-N1446</f>
        <v/>
      </c>
      <c r="Q1446" s="20">
        <f>P1446*E1446</f>
        <v/>
      </c>
      <c r="R1446" s="20" t="n"/>
    </row>
    <row r="1447" ht="20" customHeight="1" s="1">
      <c r="A1447" s="16" t="inlineStr">
        <is>
          <t>18597</t>
        </is>
      </c>
      <c r="B1447" s="17" t="inlineStr">
        <is>
          <t>Ultra Compakt</t>
        </is>
      </c>
      <c r="C1447" s="16" t="inlineStr">
        <is>
          <t>8697420535537</t>
        </is>
      </c>
      <c r="D1447" s="17" t="inlineStr">
        <is>
          <t>U/C Nemli salfetka Angels Advantagepack 72pcs</t>
        </is>
      </c>
      <c r="E1447" s="18" t="n">
        <v>2.6</v>
      </c>
      <c r="F1447" s="18" t="n">
        <v>12</v>
      </c>
      <c r="G1447" s="18" t="n">
        <v>23</v>
      </c>
      <c r="H1447" s="18" t="n"/>
      <c r="I1447" s="18" t="n"/>
      <c r="J1447" s="18" t="n"/>
      <c r="K1447" s="19">
        <f>H1447+I1447+J1447</f>
        <v/>
      </c>
      <c r="L1447" s="19">
        <f>K1447-G1447</f>
        <v/>
      </c>
      <c r="M1447" s="20">
        <f>L1447*E1447</f>
        <v/>
      </c>
      <c r="N1447" s="20" t="n">
        <v>50</v>
      </c>
      <c r="O1447" s="20" t="n"/>
      <c r="P1447" s="20">
        <f>O1447-N1447</f>
        <v/>
      </c>
      <c r="Q1447" s="20">
        <f>P1447*E1447</f>
        <v/>
      </c>
      <c r="R1447" s="20" t="n"/>
    </row>
    <row r="1448" ht="20" customHeight="1" s="1">
      <c r="A1448" s="21" t="inlineStr">
        <is>
          <t>18596</t>
        </is>
      </c>
      <c r="B1448" s="22" t="inlineStr">
        <is>
          <t>Ultra Compakt</t>
        </is>
      </c>
      <c r="C1448" s="21" t="inlineStr">
        <is>
          <t>8697420536206</t>
        </is>
      </c>
      <c r="D1448" s="22" t="inlineStr">
        <is>
          <t>U/C Nemli salfetka Antibakterial 72 pcs</t>
        </is>
      </c>
      <c r="E1448" s="23" t="n">
        <v>3</v>
      </c>
      <c r="F1448" s="23" t="n">
        <v>12</v>
      </c>
      <c r="G1448" s="23" t="n">
        <v>6</v>
      </c>
      <c r="H1448" s="23" t="n"/>
      <c r="I1448" s="23" t="n"/>
      <c r="J1448" s="23" t="n"/>
      <c r="K1448" s="19" t="n"/>
      <c r="L1448" s="19" t="n"/>
      <c r="M1448" s="20" t="n"/>
      <c r="N1448" s="20" t="n">
        <v>50</v>
      </c>
      <c r="O1448" s="20" t="n"/>
      <c r="P1448" s="20">
        <f>O1448-N1448</f>
        <v/>
      </c>
      <c r="Q1448" s="20">
        <f>P1448*E1448</f>
        <v/>
      </c>
      <c r="R1448" s="20" t="n"/>
    </row>
    <row r="1449" ht="20" customHeight="1" s="1">
      <c r="A1449" s="16" t="inlineStr">
        <is>
          <t>20703</t>
        </is>
      </c>
      <c r="B1449" s="17" t="inlineStr">
        <is>
          <t>Ultra Compakt</t>
        </is>
      </c>
      <c r="C1449" s="16" t="inlineStr">
        <is>
          <t>8697420538446</t>
        </is>
      </c>
      <c r="D1449" s="17" t="inlineStr">
        <is>
          <t>U/C nemli salfetka Make up Remover 40 pcs</t>
        </is>
      </c>
      <c r="E1449" s="18" t="n">
        <v>2.3</v>
      </c>
      <c r="F1449" s="18" t="n">
        <v>24</v>
      </c>
      <c r="G1449" s="18" t="n">
        <v>30</v>
      </c>
      <c r="H1449" s="18" t="n"/>
      <c r="I1449" s="18" t="n"/>
      <c r="J1449" s="18" t="n"/>
      <c r="K1449" s="19">
        <f>H1449+I1449+J1449</f>
        <v/>
      </c>
      <c r="L1449" s="19">
        <f>K1449-G1449</f>
        <v/>
      </c>
      <c r="M1449" s="20">
        <f>L1449*E1449</f>
        <v/>
      </c>
      <c r="N1449" s="20" t="n">
        <v>50</v>
      </c>
      <c r="O1449" s="20" t="n"/>
      <c r="P1449" s="20">
        <f>O1449-N1449</f>
        <v/>
      </c>
      <c r="Q1449" s="20">
        <f>P1449*E1449</f>
        <v/>
      </c>
      <c r="R1449" s="20" t="n"/>
    </row>
    <row r="1450" ht="20" customHeight="1" s="1">
      <c r="A1450" s="21" t="inlineStr">
        <is>
          <t>14766</t>
        </is>
      </c>
      <c r="B1450" s="22" t="inlineStr">
        <is>
          <t>Ultra Compakt</t>
        </is>
      </c>
      <c r="C1450" s="21" t="inlineStr">
        <is>
          <t>8697420533212</t>
        </is>
      </c>
      <c r="D1450" s="22" t="inlineStr">
        <is>
          <t>U/C nemli salfetka Make Up Roza 25 ed.</t>
        </is>
      </c>
      <c r="E1450" s="23" t="n">
        <v>1.5</v>
      </c>
      <c r="F1450" s="23" t="n">
        <v>80</v>
      </c>
      <c r="G1450" s="23" t="n">
        <v>213</v>
      </c>
      <c r="H1450" s="23" t="n"/>
      <c r="I1450" s="23" t="n"/>
      <c r="J1450" s="23" t="n"/>
      <c r="K1450" s="19">
        <f>H1450+I1450+J1450</f>
        <v/>
      </c>
      <c r="L1450" s="19">
        <f>K1450-G1450</f>
        <v/>
      </c>
      <c r="M1450" s="20">
        <f>L1450*E1450</f>
        <v/>
      </c>
      <c r="N1450" s="20" t="n">
        <v>50</v>
      </c>
      <c r="O1450" s="20" t="n"/>
      <c r="P1450" s="20">
        <f>O1450-N1450</f>
        <v/>
      </c>
      <c r="Q1450" s="20">
        <f>P1450*E1450</f>
        <v/>
      </c>
      <c r="R1450" s="20" t="n"/>
    </row>
    <row r="1451" ht="20" customHeight="1" s="1">
      <c r="A1451" s="16" t="inlineStr">
        <is>
          <t>18599</t>
        </is>
      </c>
      <c r="B1451" s="17" t="inlineStr">
        <is>
          <t>Ultra Compakt</t>
        </is>
      </c>
      <c r="C1451" s="16" t="inlineStr">
        <is>
          <t>8697420535728</t>
        </is>
      </c>
      <c r="D1451" s="17" t="inlineStr">
        <is>
          <t>U/C Nemli salfetka Make up Micellar 25 pcs</t>
        </is>
      </c>
      <c r="E1451" s="18" t="n">
        <v>1.7</v>
      </c>
      <c r="F1451" s="18" t="n">
        <v>80</v>
      </c>
      <c r="G1451" s="18" t="n">
        <v>143</v>
      </c>
      <c r="H1451" s="18" t="n"/>
      <c r="I1451" s="18" t="n"/>
      <c r="J1451" s="18" t="n"/>
      <c r="K1451" s="19">
        <f>H1451+I1451+J1451</f>
        <v/>
      </c>
      <c r="L1451" s="19">
        <f>K1451-G1451</f>
        <v/>
      </c>
      <c r="M1451" s="20">
        <f>L1451*E1451</f>
        <v/>
      </c>
      <c r="N1451" s="20" t="n">
        <v>50</v>
      </c>
      <c r="O1451" s="20" t="n"/>
      <c r="P1451" s="20">
        <f>O1451-N1451</f>
        <v/>
      </c>
      <c r="Q1451" s="20">
        <f>P1451*E1451</f>
        <v/>
      </c>
      <c r="R1451" s="20" t="n"/>
    </row>
    <row r="1452" ht="20" customHeight="1" s="1">
      <c r="A1452" s="21" t="inlineStr">
        <is>
          <t>14763</t>
        </is>
      </c>
      <c r="B1452" s="22" t="inlineStr">
        <is>
          <t>Ultra Compakt</t>
        </is>
      </c>
      <c r="C1452" s="21" t="inlineStr">
        <is>
          <t>8697420534592</t>
        </is>
      </c>
      <c r="D1452" s="22" t="inlineStr">
        <is>
          <t>U/C nemli salfetka Make up  25 ed</t>
        </is>
      </c>
      <c r="E1452" s="23" t="n">
        <v>1.7</v>
      </c>
      <c r="F1452" s="23" t="n">
        <v>80</v>
      </c>
      <c r="G1452" s="23" t="n">
        <v>170</v>
      </c>
      <c r="H1452" s="23" t="n"/>
      <c r="I1452" s="23" t="n"/>
      <c r="J1452" s="23" t="n"/>
      <c r="K1452" s="19">
        <f>H1452+I1452+J1452</f>
        <v/>
      </c>
      <c r="L1452" s="19">
        <f>K1452-G1452</f>
        <v/>
      </c>
      <c r="M1452" s="20">
        <f>L1452*E1452</f>
        <v/>
      </c>
      <c r="N1452" s="20" t="n">
        <v>50</v>
      </c>
      <c r="O1452" s="20" t="n"/>
      <c r="P1452" s="20">
        <f>O1452-N1452</f>
        <v/>
      </c>
      <c r="Q1452" s="20">
        <f>P1452*E1452</f>
        <v/>
      </c>
      <c r="R1452" s="20" t="n"/>
    </row>
    <row r="1453" ht="20" customHeight="1" s="1">
      <c r="A1453" s="16" t="inlineStr">
        <is>
          <t>14762</t>
        </is>
      </c>
      <c r="B1453" s="17" t="inlineStr">
        <is>
          <t>Ultra Compakt</t>
        </is>
      </c>
      <c r="C1453" s="16" t="inlineStr">
        <is>
          <t>8697420534585</t>
        </is>
      </c>
      <c r="D1453" s="17" t="inlineStr">
        <is>
          <t>U/C nemli salfetka Intimate 25 ed.</t>
        </is>
      </c>
      <c r="E1453" s="18" t="n">
        <v>1.5</v>
      </c>
      <c r="F1453" s="18" t="n">
        <v>80</v>
      </c>
      <c r="G1453" s="18" t="n">
        <v>226</v>
      </c>
      <c r="H1453" s="18" t="n"/>
      <c r="I1453" s="18" t="n"/>
      <c r="J1453" s="18" t="n"/>
      <c r="K1453" s="19">
        <f>H1453+I1453+J1453</f>
        <v/>
      </c>
      <c r="L1453" s="19">
        <f>K1453-G1453</f>
        <v/>
      </c>
      <c r="M1453" s="20">
        <f>L1453*E1453</f>
        <v/>
      </c>
      <c r="N1453" s="20" t="n">
        <v>50</v>
      </c>
      <c r="O1453" s="20" t="n"/>
      <c r="P1453" s="20">
        <f>O1453-N1453</f>
        <v/>
      </c>
      <c r="Q1453" s="20">
        <f>P1453*E1453</f>
        <v/>
      </c>
      <c r="R1453" s="20" t="n"/>
    </row>
    <row r="1454" ht="20" customHeight="1" s="1">
      <c r="A1454" s="21" t="inlineStr">
        <is>
          <t>14773</t>
        </is>
      </c>
      <c r="B1454" s="22" t="inlineStr">
        <is>
          <t>Ultra Compakt</t>
        </is>
      </c>
      <c r="C1454" s="21" t="inlineStr">
        <is>
          <t>8697420533625</t>
        </is>
      </c>
      <c r="D1454" s="22" t="inlineStr">
        <is>
          <t>U/C nemli salfetka Ottoman 20 ed.</t>
        </is>
      </c>
      <c r="E1454" s="23" t="n">
        <v>1</v>
      </c>
      <c r="F1454" s="23" t="n">
        <v>96</v>
      </c>
      <c r="G1454" s="23" t="n">
        <v>163</v>
      </c>
      <c r="H1454" s="23" t="n"/>
      <c r="I1454" s="23" t="n"/>
      <c r="J1454" s="23" t="n"/>
      <c r="K1454" s="19">
        <f>H1454+I1454+J1454</f>
        <v/>
      </c>
      <c r="L1454" s="19">
        <f>K1454-G1454</f>
        <v/>
      </c>
      <c r="M1454" s="20">
        <f>L1454*E1454</f>
        <v/>
      </c>
      <c r="N1454" s="20" t="n">
        <v>50</v>
      </c>
      <c r="O1454" s="20" t="n"/>
      <c r="P1454" s="20">
        <f>O1454-N1454</f>
        <v/>
      </c>
      <c r="Q1454" s="20">
        <f>P1454*E1454</f>
        <v/>
      </c>
      <c r="R1454" s="20" t="n"/>
    </row>
    <row r="1455" ht="20" customHeight="1" s="1">
      <c r="A1455" s="16" t="inlineStr">
        <is>
          <t>19230</t>
        </is>
      </c>
      <c r="B1455" s="17" t="inlineStr">
        <is>
          <t>Ultra Compakt</t>
        </is>
      </c>
      <c r="C1455" s="16" t="inlineStr">
        <is>
          <t>8697420535810</t>
        </is>
      </c>
      <c r="D1455" s="17" t="inlineStr">
        <is>
          <t>U/C Nemli salfetka Ottoman 20 pcs Turquoise</t>
        </is>
      </c>
      <c r="E1455" s="18" t="n">
        <v>1</v>
      </c>
      <c r="F1455" s="18" t="n">
        <v>96</v>
      </c>
      <c r="G1455" s="18" t="n">
        <v>115</v>
      </c>
      <c r="H1455" s="18" t="n"/>
      <c r="I1455" s="18" t="n"/>
      <c r="J1455" s="18" t="n"/>
      <c r="K1455" s="19">
        <f>H1455+I1455+J1455</f>
        <v/>
      </c>
      <c r="L1455" s="19">
        <f>K1455-G1455</f>
        <v/>
      </c>
      <c r="M1455" s="20">
        <f>L1455*E1455</f>
        <v/>
      </c>
      <c r="N1455" s="20" t="n">
        <v>50</v>
      </c>
      <c r="O1455" s="20" t="n"/>
      <c r="P1455" s="20">
        <f>O1455-N1455</f>
        <v/>
      </c>
      <c r="Q1455" s="20">
        <f>P1455*E1455</f>
        <v/>
      </c>
      <c r="R1455" s="20" t="n"/>
    </row>
    <row r="1456" ht="20" customHeight="1" s="1">
      <c r="A1456" s="21" t="inlineStr">
        <is>
          <t>14758</t>
        </is>
      </c>
      <c r="B1456" s="22" t="inlineStr">
        <is>
          <t>Ultra Compakt</t>
        </is>
      </c>
      <c r="C1456" s="21" t="inlineStr">
        <is>
          <t>8697420530044</t>
        </is>
      </c>
      <c r="D1456" s="22" t="inlineStr">
        <is>
          <t>U/C nemli salfetka Fruktoviy 15 ed.</t>
        </is>
      </c>
      <c r="E1456" s="23" t="n">
        <v>0.5</v>
      </c>
      <c r="F1456" s="23" t="n">
        <v>144</v>
      </c>
      <c r="G1456" s="23" t="n">
        <v>1183</v>
      </c>
      <c r="H1456" s="23" t="n"/>
      <c r="I1456" s="23" t="n"/>
      <c r="J1456" s="23" t="n"/>
      <c r="K1456" s="19">
        <f>H1456+I1456+J1456</f>
        <v/>
      </c>
      <c r="L1456" s="19">
        <f>K1456-G1456</f>
        <v/>
      </c>
      <c r="M1456" s="20">
        <f>L1456*E1456</f>
        <v/>
      </c>
      <c r="N1456" s="20" t="n">
        <v>50</v>
      </c>
      <c r="O1456" s="20" t="n"/>
      <c r="P1456" s="20">
        <f>O1456-N1456</f>
        <v/>
      </c>
      <c r="Q1456" s="20">
        <f>P1456*E1456</f>
        <v/>
      </c>
      <c r="R1456" s="20" t="n"/>
    </row>
    <row r="1457" ht="20" customHeight="1" s="1">
      <c r="A1457" s="16" t="inlineStr">
        <is>
          <t>15813</t>
        </is>
      </c>
      <c r="B1457" s="17" t="inlineStr">
        <is>
          <t>Ultra Compakt</t>
        </is>
      </c>
      <c r="C1457" s="16" t="inlineStr">
        <is>
          <t>8697420532529</t>
        </is>
      </c>
      <c r="D1457" s="17" t="inlineStr">
        <is>
          <t>U/C Nemli salfetka Antibakterial 15 pcs</t>
        </is>
      </c>
      <c r="E1457" s="18" t="n">
        <v>0.7</v>
      </c>
      <c r="F1457" s="18" t="n">
        <v>144</v>
      </c>
      <c r="G1457" s="18" t="n">
        <v>297</v>
      </c>
      <c r="H1457" s="18" t="n"/>
      <c r="I1457" s="18" t="n"/>
      <c r="J1457" s="18" t="n"/>
      <c r="K1457" s="19">
        <f>H1457+I1457+J1457</f>
        <v/>
      </c>
      <c r="L1457" s="19">
        <f>K1457-G1457</f>
        <v/>
      </c>
      <c r="M1457" s="20">
        <f>L1457*E1457</f>
        <v/>
      </c>
      <c r="N1457" s="20" t="n">
        <v>50</v>
      </c>
      <c r="O1457" s="20" t="n"/>
      <c r="P1457" s="20">
        <f>O1457-N1457</f>
        <v/>
      </c>
      <c r="Q1457" s="20">
        <f>P1457*E1457</f>
        <v/>
      </c>
      <c r="R1457" s="20" t="n"/>
    </row>
    <row r="1458" ht="20" customHeight="1" s="1">
      <c r="A1458" s="21" t="inlineStr">
        <is>
          <t>11953</t>
        </is>
      </c>
      <c r="B1458" s="22" t="inlineStr">
        <is>
          <t>Ultra Compakt</t>
        </is>
      </c>
      <c r="C1458" s="21" t="inlineStr">
        <is>
          <t>8697420533830</t>
        </is>
      </c>
      <c r="D1458" s="22" t="inlineStr">
        <is>
          <t>U/C Waterjet Cotton Pads 120 ed (disk)</t>
        </is>
      </c>
      <c r="E1458" s="23" t="n">
        <v>3</v>
      </c>
      <c r="F1458" s="23" t="n">
        <v>48</v>
      </c>
      <c r="G1458" s="23" t="n">
        <v>109</v>
      </c>
      <c r="H1458" s="23" t="n"/>
      <c r="I1458" s="23" t="n"/>
      <c r="J1458" s="23" t="n"/>
      <c r="K1458" s="19">
        <f>H1458+I1458+J1458</f>
        <v/>
      </c>
      <c r="L1458" s="19">
        <f>K1458-G1458</f>
        <v/>
      </c>
      <c r="M1458" s="20">
        <f>L1458*E1458</f>
        <v/>
      </c>
      <c r="N1458" s="20" t="n">
        <v>50</v>
      </c>
      <c r="O1458" s="20" t="n"/>
      <c r="P1458" s="20">
        <f>O1458-N1458</f>
        <v/>
      </c>
      <c r="Q1458" s="20">
        <f>P1458*E1458</f>
        <v/>
      </c>
      <c r="R1458" s="20" t="n"/>
    </row>
    <row r="1459" ht="20" customHeight="1" s="1">
      <c r="A1459" s="16" t="inlineStr">
        <is>
          <t>11952</t>
        </is>
      </c>
      <c r="B1459" s="17" t="inlineStr">
        <is>
          <t>Ultra Compakt</t>
        </is>
      </c>
      <c r="C1459" s="16" t="inlineStr">
        <is>
          <t>8697420532079</t>
        </is>
      </c>
      <c r="D1459" s="17" t="inlineStr">
        <is>
          <t>U/C Waterjet Cotton Pads 100 ed (disk)</t>
        </is>
      </c>
      <c r="E1459" s="18" t="n">
        <v>2.7</v>
      </c>
      <c r="F1459" s="18" t="n">
        <v>48</v>
      </c>
      <c r="G1459" s="18" t="n">
        <v>326</v>
      </c>
      <c r="H1459" s="18" t="n"/>
      <c r="I1459" s="18" t="n"/>
      <c r="J1459" s="18" t="n"/>
      <c r="K1459" s="19">
        <f>H1459+I1459+J1459</f>
        <v/>
      </c>
      <c r="L1459" s="19">
        <f>K1459-G1459</f>
        <v/>
      </c>
      <c r="M1459" s="20">
        <f>L1459*E1459</f>
        <v/>
      </c>
      <c r="N1459" s="20" t="n">
        <v>50</v>
      </c>
      <c r="O1459" s="20" t="n"/>
      <c r="P1459" s="20">
        <f>O1459-N1459</f>
        <v/>
      </c>
      <c r="Q1459" s="20">
        <f>P1459*E1459</f>
        <v/>
      </c>
      <c r="R1459" s="20" t="n"/>
    </row>
    <row r="1460" ht="20" customHeight="1" s="1">
      <c r="A1460" s="21" t="inlineStr">
        <is>
          <t>11954</t>
        </is>
      </c>
      <c r="B1460" s="22" t="inlineStr">
        <is>
          <t>Ultra Compakt</t>
        </is>
      </c>
      <c r="C1460" s="21" t="inlineStr">
        <is>
          <t>8697420530495</t>
        </is>
      </c>
      <c r="D1460" s="22" t="inlineStr">
        <is>
          <t>U/C Waterjet Cotton Pads 70 ed (disk)</t>
        </is>
      </c>
      <c r="E1460" s="23" t="n">
        <v>1.9</v>
      </c>
      <c r="F1460" s="23" t="n">
        <v>48</v>
      </c>
      <c r="G1460" s="23" t="n">
        <v>220</v>
      </c>
      <c r="H1460" s="23" t="n"/>
      <c r="I1460" s="23" t="n"/>
      <c r="J1460" s="23" t="n"/>
      <c r="K1460" s="19">
        <f>H1460+I1460+J1460</f>
        <v/>
      </c>
      <c r="L1460" s="19">
        <f>K1460-G1460</f>
        <v/>
      </c>
      <c r="M1460" s="20">
        <f>L1460*E1460</f>
        <v/>
      </c>
      <c r="N1460" s="20" t="n">
        <v>50</v>
      </c>
      <c r="O1460" s="20" t="n"/>
      <c r="P1460" s="20">
        <f>O1460-N1460</f>
        <v/>
      </c>
      <c r="Q1460" s="20">
        <f>P1460*E1460</f>
        <v/>
      </c>
      <c r="R1460" s="20" t="n"/>
    </row>
    <row r="1461" ht="20" customHeight="1" s="1">
      <c r="A1461" s="16" t="inlineStr">
        <is>
          <t>14809</t>
        </is>
      </c>
      <c r="B1461" s="17" t="inlineStr">
        <is>
          <t>Ultra Compakt</t>
        </is>
      </c>
      <c r="C1461" s="16" t="inlineStr">
        <is>
          <t>8697420533847</t>
        </is>
      </c>
      <c r="D1461" s="17" t="inlineStr">
        <is>
          <t>U/C Waterjet Cotton Pads 50 ed (disk)</t>
        </is>
      </c>
      <c r="E1461" s="18" t="n">
        <v>2.9</v>
      </c>
      <c r="F1461" s="18" t="n">
        <v>48</v>
      </c>
      <c r="G1461" s="18" t="n">
        <v>145</v>
      </c>
      <c r="H1461" s="18" t="n"/>
      <c r="I1461" s="18" t="n"/>
      <c r="J1461" s="18" t="n"/>
      <c r="K1461" s="19">
        <f>H1461+I1461+J1461</f>
        <v/>
      </c>
      <c r="L1461" s="19">
        <f>K1461-G1461</f>
        <v/>
      </c>
      <c r="M1461" s="20">
        <f>L1461*E1461</f>
        <v/>
      </c>
      <c r="N1461" s="20" t="n">
        <v>50</v>
      </c>
      <c r="O1461" s="20" t="n"/>
      <c r="P1461" s="20">
        <f>O1461-N1461</f>
        <v/>
      </c>
      <c r="Q1461" s="20">
        <f>P1461*E1461</f>
        <v/>
      </c>
      <c r="R1461" s="20" t="n"/>
    </row>
    <row r="1462" ht="20" customHeight="1" s="1">
      <c r="A1462" s="21" t="inlineStr">
        <is>
          <t>14808</t>
        </is>
      </c>
      <c r="B1462" s="22" t="inlineStr">
        <is>
          <t>Ultra Compakt</t>
        </is>
      </c>
      <c r="C1462" s="21" t="inlineStr">
        <is>
          <t>8697420530273</t>
        </is>
      </c>
      <c r="D1462" s="22" t="inlineStr">
        <is>
          <t>U/C Waterjet Cotton Pads 40 ed (disk)</t>
        </is>
      </c>
      <c r="E1462" s="23" t="n">
        <v>1.6</v>
      </c>
      <c r="F1462" s="23" t="n">
        <v>48</v>
      </c>
      <c r="G1462" s="23" t="n">
        <v>158</v>
      </c>
      <c r="H1462" s="23" t="n"/>
      <c r="I1462" s="23" t="n"/>
      <c r="J1462" s="23" t="n"/>
      <c r="K1462" s="19">
        <f>H1462+I1462+J1462</f>
        <v/>
      </c>
      <c r="L1462" s="19">
        <f>K1462-G1462</f>
        <v/>
      </c>
      <c r="M1462" s="20">
        <f>L1462*E1462</f>
        <v/>
      </c>
      <c r="N1462" s="20" t="n">
        <v>50</v>
      </c>
      <c r="O1462" s="20" t="n"/>
      <c r="P1462" s="20">
        <f>O1462-N1462</f>
        <v/>
      </c>
      <c r="Q1462" s="20">
        <f>P1462*E1462</f>
        <v/>
      </c>
      <c r="R1462" s="20" t="n"/>
    </row>
    <row r="1463" ht="20" customHeight="1" s="1">
      <c r="A1463" s="16" t="inlineStr">
        <is>
          <t>14667</t>
        </is>
      </c>
      <c r="B1463" s="17" t="inlineStr">
        <is>
          <t>Ultra Compakt</t>
        </is>
      </c>
      <c r="C1463" s="16" t="inlineStr">
        <is>
          <t>8697420532093</t>
        </is>
      </c>
      <c r="D1463" s="17" t="inlineStr">
        <is>
          <t>U/C Aseton 48 ededlik 125 ml Strawberry</t>
        </is>
      </c>
      <c r="E1463" s="18" t="n">
        <v>1.85</v>
      </c>
      <c r="F1463" s="18" t="n">
        <v>48</v>
      </c>
      <c r="G1463" s="18" t="n">
        <v>237</v>
      </c>
      <c r="H1463" s="18" t="n"/>
      <c r="I1463" s="18" t="n"/>
      <c r="J1463" s="18" t="n"/>
      <c r="K1463" s="19">
        <f>H1463+I1463+J1463</f>
        <v/>
      </c>
      <c r="L1463" s="19">
        <f>K1463-G1463</f>
        <v/>
      </c>
      <c r="M1463" s="20">
        <f>L1463*E1463</f>
        <v/>
      </c>
      <c r="N1463" s="20" t="n">
        <v>50</v>
      </c>
      <c r="O1463" s="20" t="n"/>
      <c r="P1463" s="20">
        <f>O1463-N1463</f>
        <v/>
      </c>
      <c r="Q1463" s="20">
        <f>P1463*E1463</f>
        <v/>
      </c>
      <c r="R1463" s="20" t="n"/>
    </row>
    <row r="1464" ht="20" customHeight="1" s="1">
      <c r="A1464" s="21" t="inlineStr">
        <is>
          <t>14666</t>
        </is>
      </c>
      <c r="B1464" s="22" t="inlineStr">
        <is>
          <t>Ultra Compakt</t>
        </is>
      </c>
      <c r="C1464" s="21" t="inlineStr">
        <is>
          <t>8697420534806</t>
        </is>
      </c>
      <c r="D1464" s="22" t="inlineStr">
        <is>
          <t>U/C Aseton 48 ededlik 125 ml Apple</t>
        </is>
      </c>
      <c r="E1464" s="23" t="n">
        <v>1.85</v>
      </c>
      <c r="F1464" s="23" t="n">
        <v>48</v>
      </c>
      <c r="G1464" s="23" t="n">
        <v>205</v>
      </c>
      <c r="H1464" s="23" t="n"/>
      <c r="I1464" s="23" t="n"/>
      <c r="J1464" s="23" t="n"/>
      <c r="K1464" s="19">
        <f>H1464+I1464+J1464</f>
        <v/>
      </c>
      <c r="L1464" s="19">
        <f>K1464-G1464</f>
        <v/>
      </c>
      <c r="M1464" s="20">
        <f>L1464*E1464</f>
        <v/>
      </c>
      <c r="N1464" s="20" t="n">
        <v>50</v>
      </c>
      <c r="O1464" s="20" t="n"/>
      <c r="P1464" s="20">
        <f>O1464-N1464</f>
        <v/>
      </c>
      <c r="Q1464" s="20">
        <f>P1464*E1464</f>
        <v/>
      </c>
      <c r="R1464" s="20" t="n"/>
    </row>
    <row r="1465" ht="20" customHeight="1" s="1">
      <c r="A1465" s="16" t="inlineStr">
        <is>
          <t>14688</t>
        </is>
      </c>
      <c r="B1465" s="17" t="inlineStr">
        <is>
          <t>Ultra Compakt</t>
        </is>
      </c>
      <c r="C1465" s="16" t="inlineStr">
        <is>
          <t>8697420532826</t>
        </is>
      </c>
      <c r="D1465" s="17" t="inlineStr">
        <is>
          <t>U/C Asvejitel Cheryy Blossom 300 ml</t>
        </is>
      </c>
      <c r="E1465" s="18" t="n">
        <v>2.8</v>
      </c>
      <c r="F1465" s="18" t="n">
        <v>24</v>
      </c>
      <c r="G1465" s="18" t="n">
        <v>27</v>
      </c>
      <c r="H1465" s="18" t="n"/>
      <c r="I1465" s="18" t="n"/>
      <c r="J1465" s="18" t="n"/>
      <c r="K1465" s="19">
        <f>H1465+I1465+J1465</f>
        <v/>
      </c>
      <c r="L1465" s="19">
        <f>K1465-G1465</f>
        <v/>
      </c>
      <c r="M1465" s="20">
        <f>L1465*E1465</f>
        <v/>
      </c>
      <c r="N1465" s="20" t="n">
        <v>50</v>
      </c>
      <c r="O1465" s="20" t="n"/>
      <c r="P1465" s="20">
        <f>O1465-N1465</f>
        <v/>
      </c>
      <c r="Q1465" s="20">
        <f>P1465*E1465</f>
        <v/>
      </c>
      <c r="R1465" s="20" t="n"/>
    </row>
    <row r="1466" ht="20" customHeight="1" s="1">
      <c r="A1466" s="21" t="inlineStr">
        <is>
          <t>14683</t>
        </is>
      </c>
      <c r="B1466" s="22" t="inlineStr">
        <is>
          <t>Ultra Compakt</t>
        </is>
      </c>
      <c r="C1466" s="21" t="inlineStr">
        <is>
          <t>8697420532833</t>
        </is>
      </c>
      <c r="D1466" s="22" t="inlineStr">
        <is>
          <t>U/C Asvejitel  Lavander 300 ml</t>
        </is>
      </c>
      <c r="E1466" s="23" t="n">
        <v>2.8</v>
      </c>
      <c r="F1466" s="23" t="n">
        <v>24</v>
      </c>
      <c r="G1466" s="23" t="n">
        <v>49</v>
      </c>
      <c r="H1466" s="23" t="n"/>
      <c r="I1466" s="23" t="n"/>
      <c r="J1466" s="23" t="n"/>
      <c r="K1466" s="19">
        <f>H1466+I1466+J1466</f>
        <v/>
      </c>
      <c r="L1466" s="19">
        <f>K1466-G1466</f>
        <v/>
      </c>
      <c r="M1466" s="20">
        <f>L1466*E1466</f>
        <v/>
      </c>
      <c r="N1466" s="20" t="n">
        <v>50</v>
      </c>
      <c r="O1466" s="20" t="n"/>
      <c r="P1466" s="20">
        <f>O1466-N1466</f>
        <v/>
      </c>
      <c r="Q1466" s="20">
        <f>P1466*E1466</f>
        <v/>
      </c>
      <c r="R1466" s="20" t="n"/>
    </row>
    <row r="1467" ht="20" customHeight="1" s="1">
      <c r="A1467" s="16" t="inlineStr">
        <is>
          <t>14684</t>
        </is>
      </c>
      <c r="B1467" s="17" t="inlineStr">
        <is>
          <t>Ultra Compakt</t>
        </is>
      </c>
      <c r="C1467" s="16" t="inlineStr">
        <is>
          <t>8697420532840</t>
        </is>
      </c>
      <c r="D1467" s="17" t="inlineStr">
        <is>
          <t>U/C Asvejitel  Lemon 300 ml</t>
        </is>
      </c>
      <c r="E1467" s="18" t="n">
        <v>2.8</v>
      </c>
      <c r="F1467" s="18" t="n">
        <v>24</v>
      </c>
      <c r="G1467" s="18" t="n">
        <v>0</v>
      </c>
      <c r="H1467" s="18" t="n"/>
      <c r="I1467" s="18" t="n"/>
      <c r="J1467" s="18" t="n"/>
      <c r="K1467" s="19">
        <f>H1467+I1467+J1467</f>
        <v/>
      </c>
      <c r="L1467" s="19">
        <f>K1467-G1467</f>
        <v/>
      </c>
      <c r="M1467" s="20">
        <f>L1467*E1467</f>
        <v/>
      </c>
      <c r="N1467" s="20" t="n">
        <v>50</v>
      </c>
      <c r="O1467" s="20" t="n"/>
      <c r="P1467" s="20">
        <f>O1467-N1467</f>
        <v/>
      </c>
      <c r="Q1467" s="20">
        <f>P1467*E1467</f>
        <v/>
      </c>
      <c r="R1467" s="20" t="n"/>
    </row>
    <row r="1468" ht="20" customHeight="1" s="1">
      <c r="A1468" s="21" t="inlineStr">
        <is>
          <t>14685</t>
        </is>
      </c>
      <c r="B1468" s="22" t="inlineStr">
        <is>
          <t>Ultra Compakt</t>
        </is>
      </c>
      <c r="C1468" s="21" t="inlineStr">
        <is>
          <t>8697420532871</t>
        </is>
      </c>
      <c r="D1468" s="22" t="inlineStr">
        <is>
          <t>U/C Asvejitel  Okean 300 ml</t>
        </is>
      </c>
      <c r="E1468" s="23" t="n">
        <v>2.8</v>
      </c>
      <c r="F1468" s="23" t="n">
        <v>24</v>
      </c>
      <c r="G1468" s="23" t="n">
        <v>81</v>
      </c>
      <c r="H1468" s="23" t="n"/>
      <c r="I1468" s="23" t="n"/>
      <c r="J1468" s="23" t="n"/>
      <c r="K1468" s="19">
        <f>H1468+I1468+J1468</f>
        <v/>
      </c>
      <c r="L1468" s="19">
        <f>K1468-G1468</f>
        <v/>
      </c>
      <c r="M1468" s="20">
        <f>L1468*E1468</f>
        <v/>
      </c>
      <c r="N1468" s="20" t="n">
        <v>50</v>
      </c>
      <c r="O1468" s="20" t="n"/>
      <c r="P1468" s="20">
        <f>O1468-N1468</f>
        <v/>
      </c>
      <c r="Q1468" s="20">
        <f>P1468*E1468</f>
        <v/>
      </c>
      <c r="R1468" s="20" t="n"/>
    </row>
    <row r="1469" ht="20" customHeight="1" s="1">
      <c r="A1469" s="16" t="inlineStr">
        <is>
          <t>14680</t>
        </is>
      </c>
      <c r="B1469" s="17" t="inlineStr">
        <is>
          <t>Ultra Compakt</t>
        </is>
      </c>
      <c r="C1469" s="16" t="inlineStr">
        <is>
          <t>8697420532819</t>
        </is>
      </c>
      <c r="D1469" s="17" t="inlineStr">
        <is>
          <t>U/C Asvejitel  Antitabak 300 ml</t>
        </is>
      </c>
      <c r="E1469" s="18" t="n">
        <v>2.8</v>
      </c>
      <c r="F1469" s="18" t="n">
        <v>24</v>
      </c>
      <c r="G1469" s="18" t="n">
        <v>24</v>
      </c>
      <c r="H1469" s="18" t="n"/>
      <c r="I1469" s="18" t="n"/>
      <c r="J1469" s="18" t="n"/>
      <c r="K1469" s="19" t="n"/>
      <c r="L1469" s="19" t="n"/>
      <c r="M1469" s="20" t="n"/>
      <c r="N1469" s="20" t="n">
        <v>50</v>
      </c>
      <c r="O1469" s="20" t="n"/>
      <c r="P1469" s="20">
        <f>O1469-N1469</f>
        <v/>
      </c>
      <c r="Q1469" s="20">
        <f>P1469*E1469</f>
        <v/>
      </c>
      <c r="R1469" s="20" t="n"/>
    </row>
    <row r="1470" ht="20" customHeight="1" s="1">
      <c r="A1470" s="21" t="inlineStr">
        <is>
          <t>14657</t>
        </is>
      </c>
      <c r="B1470" s="22" t="inlineStr">
        <is>
          <t>Ultra Compakt</t>
        </is>
      </c>
      <c r="C1470" s="21" t="inlineStr">
        <is>
          <t>8697420535087</t>
        </is>
      </c>
      <c r="D1470" s="22" t="inlineStr">
        <is>
          <t>U/C Aparat 250 ml Flover Garden</t>
        </is>
      </c>
      <c r="E1470" s="23" t="n">
        <v>3.6</v>
      </c>
      <c r="F1470" s="23" t="n">
        <v>24</v>
      </c>
      <c r="G1470" s="23" t="n">
        <v>27</v>
      </c>
      <c r="H1470" s="23" t="n"/>
      <c r="I1470" s="23" t="n"/>
      <c r="J1470" s="23" t="n"/>
      <c r="K1470" s="19">
        <f>H1470+I1470+J1470</f>
        <v/>
      </c>
      <c r="L1470" s="19">
        <f>K1470-G1470</f>
        <v/>
      </c>
      <c r="M1470" s="20">
        <f>L1470*E1470</f>
        <v/>
      </c>
      <c r="N1470" s="20" t="n">
        <v>50</v>
      </c>
      <c r="O1470" s="20" t="n"/>
      <c r="P1470" s="20">
        <f>O1470-N1470</f>
        <v/>
      </c>
      <c r="Q1470" s="20">
        <f>P1470*E1470</f>
        <v/>
      </c>
      <c r="R1470" s="20" t="n"/>
    </row>
    <row r="1471" ht="20" customHeight="1" s="1">
      <c r="A1471" s="16" t="inlineStr">
        <is>
          <t>14661</t>
        </is>
      </c>
      <c r="B1471" s="17" t="inlineStr">
        <is>
          <t>Ultra Compakt</t>
        </is>
      </c>
      <c r="C1471" s="16" t="inlineStr">
        <is>
          <t>8697420535094</t>
        </is>
      </c>
      <c r="D1471" s="17" t="inlineStr">
        <is>
          <t>U/C Aparat 250 ml Okean</t>
        </is>
      </c>
      <c r="E1471" s="18" t="n">
        <v>3.6</v>
      </c>
      <c r="F1471" s="18" t="n">
        <v>24</v>
      </c>
      <c r="G1471" s="18" t="n">
        <v>58</v>
      </c>
      <c r="H1471" s="18" t="n"/>
      <c r="I1471" s="18" t="n"/>
      <c r="J1471" s="18" t="n"/>
      <c r="K1471" s="19">
        <f>H1471+I1471+J1471</f>
        <v/>
      </c>
      <c r="L1471" s="19">
        <f>K1471-G1471</f>
        <v/>
      </c>
      <c r="M1471" s="20">
        <f>L1471*E1471</f>
        <v/>
      </c>
      <c r="N1471" s="20" t="n">
        <v>50</v>
      </c>
      <c r="O1471" s="20" t="n"/>
      <c r="P1471" s="20">
        <f>O1471-N1471</f>
        <v/>
      </c>
      <c r="Q1471" s="20">
        <f>P1471*E1471</f>
        <v/>
      </c>
      <c r="R1471" s="20" t="n"/>
    </row>
    <row r="1472" ht="20" customHeight="1" s="1">
      <c r="A1472" s="21" t="inlineStr">
        <is>
          <t>14655</t>
        </is>
      </c>
      <c r="B1472" s="22" t="inlineStr">
        <is>
          <t>Ultra Compakt</t>
        </is>
      </c>
      <c r="C1472" s="21" t="inlineStr">
        <is>
          <t>8697420535117</t>
        </is>
      </c>
      <c r="D1472" s="22" t="inlineStr">
        <is>
          <t>U/C Aparat 250 ml Antitabacco</t>
        </is>
      </c>
      <c r="E1472" s="23" t="n">
        <v>3.6</v>
      </c>
      <c r="F1472" s="23" t="n">
        <v>24</v>
      </c>
      <c r="G1472" s="23" t="n">
        <v>53</v>
      </c>
      <c r="H1472" s="23" t="n"/>
      <c r="I1472" s="23" t="n"/>
      <c r="J1472" s="23" t="n"/>
      <c r="K1472" s="19">
        <f>H1472+I1472+J1472</f>
        <v/>
      </c>
      <c r="L1472" s="19">
        <f>K1472-G1472</f>
        <v/>
      </c>
      <c r="M1472" s="20">
        <f>L1472*E1472</f>
        <v/>
      </c>
      <c r="N1472" s="20" t="n">
        <v>50</v>
      </c>
      <c r="O1472" s="20" t="n"/>
      <c r="P1472" s="20">
        <f>O1472-N1472</f>
        <v/>
      </c>
      <c r="Q1472" s="20">
        <f>P1472*E1472</f>
        <v/>
      </c>
      <c r="R1472" s="20" t="n"/>
    </row>
    <row r="1473" ht="20" customHeight="1" s="1">
      <c r="A1473" s="16" t="inlineStr">
        <is>
          <t>14658</t>
        </is>
      </c>
      <c r="B1473" s="17" t="inlineStr">
        <is>
          <t>Ultra Compakt</t>
        </is>
      </c>
      <c r="C1473" s="16" t="inlineStr">
        <is>
          <t>8697420535124</t>
        </is>
      </c>
      <c r="D1473" s="17" t="inlineStr">
        <is>
          <t>U/C Aparat 250 ml Glamour Fruits</t>
        </is>
      </c>
      <c r="E1473" s="18" t="n">
        <v>3.6</v>
      </c>
      <c r="F1473" s="18" t="n">
        <v>24</v>
      </c>
      <c r="G1473" s="18" t="n">
        <v>50</v>
      </c>
      <c r="H1473" s="18" t="n"/>
      <c r="I1473" s="18" t="n"/>
      <c r="J1473" s="18" t="n"/>
      <c r="K1473" s="19">
        <f>H1473+I1473+J1473</f>
        <v/>
      </c>
      <c r="L1473" s="19">
        <f>K1473-G1473</f>
        <v/>
      </c>
      <c r="M1473" s="20">
        <f>L1473*E1473</f>
        <v/>
      </c>
      <c r="N1473" s="20" t="n">
        <v>50</v>
      </c>
      <c r="O1473" s="20" t="n"/>
      <c r="P1473" s="20">
        <f>O1473-N1473</f>
        <v/>
      </c>
      <c r="Q1473" s="20">
        <f>P1473*E1473</f>
        <v/>
      </c>
      <c r="R1473" s="20" t="n"/>
    </row>
    <row r="1474" ht="20" customHeight="1" s="1">
      <c r="A1474" s="21" t="inlineStr">
        <is>
          <t>14663</t>
        </is>
      </c>
      <c r="B1474" s="22" t="inlineStr">
        <is>
          <t>Ultra Compakt</t>
        </is>
      </c>
      <c r="C1474" s="21" t="inlineStr">
        <is>
          <t>8697420532895</t>
        </is>
      </c>
      <c r="D1474" s="22" t="inlineStr">
        <is>
          <t>U/C Aparat 250 ml White Rose</t>
        </is>
      </c>
      <c r="E1474" s="23" t="n">
        <v>3.6</v>
      </c>
      <c r="F1474" s="23" t="n">
        <v>24</v>
      </c>
      <c r="G1474" s="23" t="n">
        <v>32</v>
      </c>
      <c r="H1474" s="23" t="n"/>
      <c r="I1474" s="23" t="n"/>
      <c r="J1474" s="23" t="n"/>
      <c r="K1474" s="19">
        <f>H1474+I1474+J1474</f>
        <v/>
      </c>
      <c r="L1474" s="19">
        <f>K1474-G1474</f>
        <v/>
      </c>
      <c r="M1474" s="20">
        <f>L1474*E1474</f>
        <v/>
      </c>
      <c r="N1474" s="20" t="n">
        <v>50</v>
      </c>
      <c r="O1474" s="20" t="n"/>
      <c r="P1474" s="20">
        <f>O1474-N1474</f>
        <v/>
      </c>
      <c r="Q1474" s="20">
        <f>P1474*E1474</f>
        <v/>
      </c>
      <c r="R1474" s="20" t="n"/>
    </row>
    <row r="1475" ht="20" customHeight="1" s="1">
      <c r="A1475" s="16" t="inlineStr">
        <is>
          <t>14659</t>
        </is>
      </c>
      <c r="B1475" s="17" t="inlineStr">
        <is>
          <t>Ultra Compakt</t>
        </is>
      </c>
      <c r="C1475" s="16" t="inlineStr">
        <is>
          <t>8697420532864</t>
        </is>
      </c>
      <c r="D1475" s="17" t="inlineStr">
        <is>
          <t>U/C Aparat 250 ml Green Tea</t>
        </is>
      </c>
      <c r="E1475" s="18" t="n">
        <v>3.6</v>
      </c>
      <c r="F1475" s="18" t="n">
        <v>24</v>
      </c>
      <c r="G1475" s="18" t="n">
        <v>36</v>
      </c>
      <c r="H1475" s="18" t="n"/>
      <c r="I1475" s="18" t="n"/>
      <c r="J1475" s="18" t="n"/>
      <c r="K1475" s="19">
        <f>H1475+I1475+J1475</f>
        <v/>
      </c>
      <c r="L1475" s="19">
        <f>K1475-G1475</f>
        <v/>
      </c>
      <c r="M1475" s="20">
        <f>L1475*E1475</f>
        <v/>
      </c>
      <c r="N1475" s="20" t="n">
        <v>50</v>
      </c>
      <c r="O1475" s="20" t="n"/>
      <c r="P1475" s="20">
        <f>O1475-N1475</f>
        <v/>
      </c>
      <c r="Q1475" s="20">
        <f>P1475*E1475</f>
        <v/>
      </c>
      <c r="R1475" s="20" t="n"/>
    </row>
    <row r="1476" ht="20" customHeight="1" s="1">
      <c r="A1476" s="21" t="inlineStr">
        <is>
          <t>14660</t>
        </is>
      </c>
      <c r="B1476" s="22" t="inlineStr">
        <is>
          <t>Ultra Compakt</t>
        </is>
      </c>
      <c r="C1476" s="21" t="inlineStr">
        <is>
          <t>8697420532857</t>
        </is>
      </c>
      <c r="D1476" s="22" t="inlineStr">
        <is>
          <t>U/C Aparat 250 ml Mustic Oud</t>
        </is>
      </c>
      <c r="E1476" s="23" t="n">
        <v>3.6</v>
      </c>
      <c r="F1476" s="23" t="n">
        <v>24</v>
      </c>
      <c r="G1476" s="23" t="n">
        <v>35</v>
      </c>
      <c r="H1476" s="23" t="n"/>
      <c r="I1476" s="23" t="n"/>
      <c r="J1476" s="23" t="n"/>
      <c r="K1476" s="19">
        <f>H1476+I1476+J1476</f>
        <v/>
      </c>
      <c r="L1476" s="19">
        <f>K1476-G1476</f>
        <v/>
      </c>
      <c r="M1476" s="20">
        <f>L1476*E1476</f>
        <v/>
      </c>
      <c r="N1476" s="20" t="n">
        <v>50</v>
      </c>
      <c r="O1476" s="20" t="n"/>
      <c r="P1476" s="20">
        <f>O1476-N1476</f>
        <v/>
      </c>
      <c r="Q1476" s="20">
        <f>P1476*E1476</f>
        <v/>
      </c>
      <c r="R1476" s="20" t="n"/>
    </row>
    <row r="1477" ht="20" customHeight="1" s="1">
      <c r="A1477" s="16" t="inlineStr">
        <is>
          <t>14664</t>
        </is>
      </c>
      <c r="B1477" s="17" t="inlineStr">
        <is>
          <t>Ultra Compakt</t>
        </is>
      </c>
      <c r="C1477" s="16" t="inlineStr">
        <is>
          <t>8697420532888</t>
        </is>
      </c>
      <c r="D1477" s="17" t="inlineStr">
        <is>
          <t>U/C Aparat 250 ml Wild Lavander</t>
        </is>
      </c>
      <c r="E1477" s="18" t="n">
        <v>3.6</v>
      </c>
      <c r="F1477" s="18" t="n">
        <v>24</v>
      </c>
      <c r="G1477" s="18" t="n">
        <v>71</v>
      </c>
      <c r="H1477" s="18" t="n"/>
      <c r="I1477" s="18" t="n"/>
      <c r="J1477" s="18" t="n"/>
      <c r="K1477" s="19">
        <f>H1477+I1477+J1477</f>
        <v/>
      </c>
      <c r="L1477" s="19">
        <f>K1477-G1477</f>
        <v/>
      </c>
      <c r="M1477" s="20">
        <f>L1477*E1477</f>
        <v/>
      </c>
      <c r="N1477" s="20" t="n">
        <v>50</v>
      </c>
      <c r="O1477" s="20" t="n"/>
      <c r="P1477" s="20">
        <f>O1477-N1477</f>
        <v/>
      </c>
      <c r="Q1477" s="20">
        <f>P1477*E1477</f>
        <v/>
      </c>
      <c r="R1477" s="20" t="n"/>
    </row>
    <row r="1478" ht="20" customHeight="1" s="1">
      <c r="A1478" s="21" t="inlineStr">
        <is>
          <t>14797</t>
        </is>
      </c>
      <c r="B1478" s="22" t="inlineStr">
        <is>
          <t>Ultra Compakt</t>
        </is>
      </c>
      <c r="C1478" s="21" t="inlineStr">
        <is>
          <t>8697420531805</t>
        </is>
      </c>
      <c r="D1478" s="22" t="inlineStr">
        <is>
          <t>U/C Qulaq copu 300 ed.(Yuvarlak)</t>
        </is>
      </c>
      <c r="E1478" s="23" t="n">
        <v>2.95</v>
      </c>
      <c r="F1478" s="23" t="n">
        <v>24</v>
      </c>
      <c r="G1478" s="23" t="n">
        <v>350</v>
      </c>
      <c r="H1478" s="23" t="n"/>
      <c r="I1478" s="23" t="n"/>
      <c r="J1478" s="23" t="n"/>
      <c r="K1478" s="19">
        <f>H1478+I1478+J1478</f>
        <v/>
      </c>
      <c r="L1478" s="19">
        <f>K1478-G1478</f>
        <v/>
      </c>
      <c r="M1478" s="20">
        <f>L1478*E1478</f>
        <v/>
      </c>
      <c r="N1478" s="20" t="n">
        <v>50</v>
      </c>
      <c r="O1478" s="20" t="n"/>
      <c r="P1478" s="20">
        <f>O1478-N1478</f>
        <v/>
      </c>
      <c r="Q1478" s="20">
        <f>P1478*E1478</f>
        <v/>
      </c>
      <c r="R1478" s="20" t="n"/>
    </row>
    <row r="1479" ht="20" customHeight="1" s="1">
      <c r="A1479" s="16" t="inlineStr">
        <is>
          <t>11950</t>
        </is>
      </c>
      <c r="B1479" s="17" t="inlineStr">
        <is>
          <t>Ultra Compakt</t>
        </is>
      </c>
      <c r="C1479" s="16" t="inlineStr">
        <is>
          <t>8697420530402</t>
        </is>
      </c>
      <c r="D1479" s="17" t="inlineStr">
        <is>
          <t>U/C Qulaq copu 200 ed. Kare</t>
        </is>
      </c>
      <c r="E1479" s="18" t="n">
        <v>2.1</v>
      </c>
      <c r="F1479" s="18" t="n">
        <v>24</v>
      </c>
      <c r="G1479" s="18" t="n">
        <v>387</v>
      </c>
      <c r="H1479" s="18" t="n"/>
      <c r="I1479" s="18" t="n"/>
      <c r="J1479" s="18" t="n"/>
      <c r="K1479" s="19">
        <f>H1479+I1479+J1479</f>
        <v/>
      </c>
      <c r="L1479" s="19">
        <f>K1479-G1479</f>
        <v/>
      </c>
      <c r="M1479" s="20">
        <f>L1479*E1479</f>
        <v/>
      </c>
      <c r="N1479" s="20" t="n">
        <v>50</v>
      </c>
      <c r="O1479" s="20" t="n"/>
      <c r="P1479" s="20">
        <f>O1479-N1479</f>
        <v/>
      </c>
      <c r="Q1479" s="20">
        <f>P1479*E1479</f>
        <v/>
      </c>
      <c r="R1479" s="20" t="n"/>
    </row>
    <row r="1480" ht="20" customHeight="1" s="1">
      <c r="A1480" s="21" t="inlineStr">
        <is>
          <t>11949</t>
        </is>
      </c>
      <c r="B1480" s="22" t="inlineStr">
        <is>
          <t>Ultra Compakt</t>
        </is>
      </c>
      <c r="C1480" s="21" t="inlineStr">
        <is>
          <t>8697420530204</t>
        </is>
      </c>
      <c r="D1480" s="22" t="inlineStr">
        <is>
          <t>U/C Qulaq copu 100 ed.(Yuvarlak)</t>
        </is>
      </c>
      <c r="E1480" s="23" t="n">
        <v>1.25</v>
      </c>
      <c r="F1480" s="23" t="n">
        <v>24</v>
      </c>
      <c r="G1480" s="23" t="n">
        <v>537</v>
      </c>
      <c r="H1480" s="23" t="n"/>
      <c r="I1480" s="23" t="n"/>
      <c r="J1480" s="23" t="n"/>
      <c r="K1480" s="19">
        <f>H1480+I1480+J1480</f>
        <v/>
      </c>
      <c r="L1480" s="19">
        <f>K1480-G1480</f>
        <v/>
      </c>
      <c r="M1480" s="20">
        <f>L1480*E1480</f>
        <v/>
      </c>
      <c r="N1480" s="20" t="n">
        <v>50</v>
      </c>
      <c r="O1480" s="20" t="n"/>
      <c r="P1480" s="20">
        <f>O1480-N1480</f>
        <v/>
      </c>
      <c r="Q1480" s="20">
        <f>P1480*E1480</f>
        <v/>
      </c>
      <c r="R1480" s="20" t="n"/>
    </row>
    <row r="1481" ht="20" customHeight="1" s="1">
      <c r="A1481" s="16" t="inlineStr">
        <is>
          <t>14798</t>
        </is>
      </c>
      <c r="B1481" s="17" t="inlineStr">
        <is>
          <t>Ultra Compakt</t>
        </is>
      </c>
      <c r="C1481" s="16" t="inlineStr">
        <is>
          <t>8697420530303</t>
        </is>
      </c>
      <c r="D1481" s="17" t="inlineStr">
        <is>
          <t>U/C Qulaq copu Beby 60 ed.</t>
        </is>
      </c>
      <c r="E1481" s="18" t="n">
        <v>1.8</v>
      </c>
      <c r="F1481" s="18" t="n">
        <v>24</v>
      </c>
      <c r="G1481" s="18" t="n">
        <v>245</v>
      </c>
      <c r="H1481" s="18" t="n"/>
      <c r="I1481" s="18" t="n"/>
      <c r="J1481" s="18" t="n"/>
      <c r="K1481" s="19">
        <f>H1481+I1481+J1481</f>
        <v/>
      </c>
      <c r="L1481" s="19">
        <f>K1481-G1481</f>
        <v/>
      </c>
      <c r="M1481" s="20">
        <f>L1481*E1481</f>
        <v/>
      </c>
      <c r="N1481" s="20" t="n">
        <v>50</v>
      </c>
      <c r="O1481" s="20" t="n"/>
      <c r="P1481" s="20">
        <f>O1481-N1481</f>
        <v/>
      </c>
      <c r="Q1481" s="20">
        <f>P1481*E1481</f>
        <v/>
      </c>
      <c r="R1481" s="20" t="n"/>
    </row>
    <row r="1482" ht="20" customHeight="1" s="1">
      <c r="A1482" s="21" t="inlineStr">
        <is>
          <t>14807</t>
        </is>
      </c>
      <c r="B1482" s="22" t="inlineStr">
        <is>
          <t>Ultra Compakt</t>
        </is>
      </c>
      <c r="C1482" s="21" t="inlineStr">
        <is>
          <t>8697420530327</t>
        </is>
      </c>
      <c r="D1482" s="22" t="inlineStr">
        <is>
          <t>U/C Temizlik Bezi 35*40 sm</t>
        </is>
      </c>
      <c r="E1482" s="23" t="n">
        <v>1.8</v>
      </c>
      <c r="F1482" s="23" t="n">
        <v>132</v>
      </c>
      <c r="G1482" s="23" t="n">
        <v>250</v>
      </c>
      <c r="H1482" s="23" t="n"/>
      <c r="I1482" s="23" t="n"/>
      <c r="J1482" s="23" t="n"/>
      <c r="K1482" s="19">
        <f>H1482+I1482+J1482</f>
        <v/>
      </c>
      <c r="L1482" s="19">
        <f>K1482-G1482</f>
        <v/>
      </c>
      <c r="M1482" s="20">
        <f>L1482*E1482</f>
        <v/>
      </c>
      <c r="N1482" s="20" t="n">
        <v>50</v>
      </c>
      <c r="O1482" s="20" t="n"/>
      <c r="P1482" s="20">
        <f>O1482-N1482</f>
        <v/>
      </c>
      <c r="Q1482" s="20">
        <f>P1482*E1482</f>
        <v/>
      </c>
      <c r="R1482" s="20" t="n"/>
    </row>
    <row r="1483" ht="20" customHeight="1" s="1">
      <c r="A1483" s="16" t="inlineStr">
        <is>
          <t>14800</t>
        </is>
      </c>
      <c r="B1483" s="17" t="inlineStr">
        <is>
          <t>Ultra Compakt</t>
        </is>
      </c>
      <c r="C1483" s="16" t="inlineStr">
        <is>
          <t>8697420533229</t>
        </is>
      </c>
      <c r="D1483" s="17" t="inlineStr">
        <is>
          <t>U/C Quru salfetka 10 eded</t>
        </is>
      </c>
      <c r="E1483" s="18" t="n">
        <v>0.3</v>
      </c>
      <c r="F1483" s="18" t="n">
        <v>300</v>
      </c>
      <c r="G1483" s="18" t="n">
        <v>305</v>
      </c>
      <c r="H1483" s="18" t="n"/>
      <c r="I1483" s="18" t="n"/>
      <c r="J1483" s="18" t="n"/>
      <c r="K1483" s="19">
        <f>H1483+I1483+J1483</f>
        <v/>
      </c>
      <c r="L1483" s="19">
        <f>K1483-G1483</f>
        <v/>
      </c>
      <c r="M1483" s="20">
        <f>L1483*E1483</f>
        <v/>
      </c>
      <c r="N1483" s="20" t="n">
        <v>50</v>
      </c>
      <c r="O1483" s="20" t="n"/>
      <c r="P1483" s="20">
        <f>O1483-N1483</f>
        <v/>
      </c>
      <c r="Q1483" s="20">
        <f>P1483*E1483</f>
        <v/>
      </c>
      <c r="R1483" s="20" t="n"/>
    </row>
    <row r="1484" ht="20" customHeight="1" s="1">
      <c r="A1484" s="21" t="inlineStr">
        <is>
          <t>18600</t>
        </is>
      </c>
      <c r="B1484" s="22" t="inlineStr">
        <is>
          <t>Ultra Compakt</t>
        </is>
      </c>
      <c r="C1484" s="21" t="inlineStr">
        <is>
          <t>8697420536169</t>
        </is>
      </c>
      <c r="D1484" s="22" t="inlineStr">
        <is>
          <t>U/C Maye sabun Antibakterial 500 ml</t>
        </is>
      </c>
      <c r="E1484" s="23" t="n">
        <v>3.3</v>
      </c>
      <c r="F1484" s="23" t="n">
        <v>12</v>
      </c>
      <c r="G1484" s="23" t="n">
        <v>0</v>
      </c>
      <c r="H1484" s="23" t="n"/>
      <c r="I1484" s="23" t="n"/>
      <c r="J1484" s="23" t="n"/>
      <c r="K1484" s="19">
        <f>H1484+I1484+J1484</f>
        <v/>
      </c>
      <c r="L1484" s="19">
        <f>K1484-G1484</f>
        <v/>
      </c>
      <c r="M1484" s="20">
        <f>L1484*E1484</f>
        <v/>
      </c>
      <c r="N1484" s="20" t="n">
        <v>50</v>
      </c>
      <c r="O1484" s="20" t="n"/>
      <c r="P1484" s="20">
        <f>O1484-N1484</f>
        <v/>
      </c>
      <c r="Q1484" s="20">
        <f>P1484*E1484</f>
        <v/>
      </c>
      <c r="R1484" s="20" t="n"/>
    </row>
    <row r="1485" ht="20" customHeight="1" s="1">
      <c r="A1485" s="16" t="inlineStr">
        <is>
          <t>14725</t>
        </is>
      </c>
      <c r="B1485" s="17" t="inlineStr">
        <is>
          <t>Ultra Compakt</t>
        </is>
      </c>
      <c r="C1485" s="16" t="inlineStr">
        <is>
          <t>8697420530662</t>
        </is>
      </c>
      <c r="D1485" s="17" t="inlineStr">
        <is>
          <t>U/C Maye sabun Blueberry 500 ml</t>
        </is>
      </c>
      <c r="E1485" s="18" t="n">
        <v>2.5</v>
      </c>
      <c r="F1485" s="18" t="n">
        <v>12</v>
      </c>
      <c r="G1485" s="18" t="n">
        <v>0</v>
      </c>
      <c r="H1485" s="18" t="n"/>
      <c r="I1485" s="18" t="n"/>
      <c r="J1485" s="18" t="n"/>
      <c r="K1485" s="19">
        <f>H1485+I1485+J1485</f>
        <v/>
      </c>
      <c r="L1485" s="19">
        <f>K1485-G1485</f>
        <v/>
      </c>
      <c r="M1485" s="20">
        <f>L1485*E1485</f>
        <v/>
      </c>
      <c r="N1485" s="20" t="n">
        <v>50</v>
      </c>
      <c r="O1485" s="20" t="n"/>
      <c r="P1485" s="20">
        <f>O1485-N1485</f>
        <v/>
      </c>
      <c r="Q1485" s="20">
        <f>P1485*E1485</f>
        <v/>
      </c>
      <c r="R1485" s="20" t="n"/>
    </row>
    <row r="1486" ht="20" customHeight="1" s="1">
      <c r="A1486" s="21" t="inlineStr">
        <is>
          <t>14727</t>
        </is>
      </c>
      <c r="B1486" s="22" t="inlineStr">
        <is>
          <t>Ultra Compakt</t>
        </is>
      </c>
      <c r="C1486" s="21" t="inlineStr">
        <is>
          <t>8697420530679</t>
        </is>
      </c>
      <c r="D1486" s="22" t="inlineStr">
        <is>
          <t>U/C Maye sabun Cranberry 500 ml</t>
        </is>
      </c>
      <c r="E1486" s="23" t="n">
        <v>2.5</v>
      </c>
      <c r="F1486" s="23" t="n">
        <v>12</v>
      </c>
      <c r="G1486" s="23" t="n">
        <v>60</v>
      </c>
      <c r="H1486" s="23" t="n"/>
      <c r="I1486" s="23" t="n"/>
      <c r="J1486" s="23" t="n"/>
      <c r="K1486" s="19">
        <f>H1486+I1486+J1486</f>
        <v/>
      </c>
      <c r="L1486" s="19">
        <f>K1486-G1486</f>
        <v/>
      </c>
      <c r="M1486" s="20">
        <f>L1486*E1486</f>
        <v/>
      </c>
      <c r="N1486" s="20" t="n">
        <v>50</v>
      </c>
      <c r="O1486" s="20" t="n"/>
      <c r="P1486" s="20">
        <f>O1486-N1486</f>
        <v/>
      </c>
      <c r="Q1486" s="20">
        <f>P1486*E1486</f>
        <v/>
      </c>
      <c r="R1486" s="20" t="n"/>
    </row>
    <row r="1487" ht="20" customHeight="1" s="1">
      <c r="A1487" s="16" t="inlineStr">
        <is>
          <t>14730</t>
        </is>
      </c>
      <c r="B1487" s="17" t="inlineStr">
        <is>
          <t>Ultra Compakt</t>
        </is>
      </c>
      <c r="C1487" s="16" t="inlineStr">
        <is>
          <t>8697420530686</t>
        </is>
      </c>
      <c r="D1487" s="17" t="inlineStr">
        <is>
          <t>U/C Maye sabun Manqo 500 ml</t>
        </is>
      </c>
      <c r="E1487" s="18" t="n">
        <v>2.5</v>
      </c>
      <c r="F1487" s="18" t="n">
        <v>12</v>
      </c>
      <c r="G1487" s="18" t="n">
        <v>74</v>
      </c>
      <c r="H1487" s="18" t="n"/>
      <c r="I1487" s="18" t="n"/>
      <c r="J1487" s="18" t="n"/>
      <c r="K1487" s="19">
        <f>H1487+I1487+J1487</f>
        <v/>
      </c>
      <c r="L1487" s="19">
        <f>K1487-G1487</f>
        <v/>
      </c>
      <c r="M1487" s="20">
        <f>L1487*E1487</f>
        <v/>
      </c>
      <c r="N1487" s="20" t="n">
        <v>50</v>
      </c>
      <c r="O1487" s="20" t="n"/>
      <c r="P1487" s="20">
        <f>O1487-N1487</f>
        <v/>
      </c>
      <c r="Q1487" s="20">
        <f>P1487*E1487</f>
        <v/>
      </c>
      <c r="R1487" s="20" t="n"/>
    </row>
    <row r="1488" ht="20" customHeight="1" s="1">
      <c r="A1488" s="21" t="inlineStr">
        <is>
          <t>14732</t>
        </is>
      </c>
      <c r="B1488" s="22" t="inlineStr">
        <is>
          <t>Ultra Compakt</t>
        </is>
      </c>
      <c r="C1488" s="21" t="inlineStr">
        <is>
          <t>8697420530709</t>
        </is>
      </c>
      <c r="D1488" s="22" t="inlineStr">
        <is>
          <t>U/C Maye sabun Plum 500 ml</t>
        </is>
      </c>
      <c r="E1488" s="23" t="n">
        <v>2.5</v>
      </c>
      <c r="F1488" s="23" t="n">
        <v>12</v>
      </c>
      <c r="G1488" s="23" t="n">
        <v>64</v>
      </c>
      <c r="H1488" s="23" t="n"/>
      <c r="I1488" s="23" t="n"/>
      <c r="J1488" s="23" t="n"/>
      <c r="K1488" s="19">
        <f>H1488+I1488+J1488</f>
        <v/>
      </c>
      <c r="L1488" s="19">
        <f>K1488-G1488</f>
        <v/>
      </c>
      <c r="M1488" s="20">
        <f>L1488*E1488</f>
        <v/>
      </c>
      <c r="N1488" s="20" t="n">
        <v>50</v>
      </c>
      <c r="O1488" s="20" t="n"/>
      <c r="P1488" s="20">
        <f>O1488-N1488</f>
        <v/>
      </c>
      <c r="Q1488" s="20">
        <f>P1488*E1488</f>
        <v/>
      </c>
      <c r="R1488" s="20" t="n"/>
    </row>
    <row r="1489" ht="20" customHeight="1" s="1">
      <c r="A1489" s="16" t="inlineStr">
        <is>
          <t>14723</t>
        </is>
      </c>
      <c r="B1489" s="17" t="inlineStr">
        <is>
          <t>Ultra Compakt</t>
        </is>
      </c>
      <c r="C1489" s="16" t="inlineStr">
        <is>
          <t>8697420530549</t>
        </is>
      </c>
      <c r="D1489" s="17" t="inlineStr">
        <is>
          <t>U/C Maye sabun Ocean 500  ml-</t>
        </is>
      </c>
      <c r="E1489" s="18" t="n">
        <v>2.5</v>
      </c>
      <c r="F1489" s="18" t="n">
        <v>12</v>
      </c>
      <c r="G1489" s="18" t="n">
        <v>121</v>
      </c>
      <c r="H1489" s="18" t="n"/>
      <c r="I1489" s="18" t="n"/>
      <c r="J1489" s="18" t="n"/>
      <c r="K1489" s="19">
        <f>H1489+I1489+J1489</f>
        <v/>
      </c>
      <c r="L1489" s="19">
        <f>K1489-G1489</f>
        <v/>
      </c>
      <c r="M1489" s="20">
        <f>L1489*E1489</f>
        <v/>
      </c>
      <c r="N1489" s="20" t="n">
        <v>50</v>
      </c>
      <c r="O1489" s="20" t="n"/>
      <c r="P1489" s="20">
        <f>O1489-N1489</f>
        <v/>
      </c>
      <c r="Q1489" s="20">
        <f>P1489*E1489</f>
        <v/>
      </c>
      <c r="R1489" s="20" t="n"/>
    </row>
    <row r="1490" ht="20" customHeight="1" s="1">
      <c r="A1490" s="21" t="inlineStr">
        <is>
          <t>14803</t>
        </is>
      </c>
      <c r="B1490" s="22" t="inlineStr">
        <is>
          <t>Ultra Compakt</t>
        </is>
      </c>
      <c r="C1490" s="21" t="inlineStr">
        <is>
          <t>8697420532550</t>
        </is>
      </c>
      <c r="D1490" s="22" t="inlineStr">
        <is>
          <t>U/C Suse silen BLUE (OCEAN ) 500 ml</t>
        </is>
      </c>
      <c r="E1490" s="23" t="n">
        <v>2.35</v>
      </c>
      <c r="F1490" s="23" t="n">
        <v>12</v>
      </c>
      <c r="G1490" s="23" t="n">
        <v>31</v>
      </c>
      <c r="H1490" s="23" t="n"/>
      <c r="I1490" s="23" t="n"/>
      <c r="J1490" s="23" t="n"/>
      <c r="K1490" s="19">
        <f>H1490+I1490+J1490</f>
        <v/>
      </c>
      <c r="L1490" s="19">
        <f>K1490-G1490</f>
        <v/>
      </c>
      <c r="M1490" s="20">
        <f>L1490*E1490</f>
        <v/>
      </c>
      <c r="N1490" s="20" t="n">
        <v>50</v>
      </c>
      <c r="O1490" s="20" t="n"/>
      <c r="P1490" s="20">
        <f>O1490-N1490</f>
        <v/>
      </c>
      <c r="Q1490" s="20">
        <f>P1490*E1490</f>
        <v/>
      </c>
      <c r="R1490" s="20" t="n"/>
    </row>
    <row r="1491" ht="20" customHeight="1" s="1">
      <c r="A1491" s="16" t="inlineStr">
        <is>
          <t>14694</t>
        </is>
      </c>
      <c r="B1491" s="17" t="inlineStr">
        <is>
          <t>Ultra Compakt</t>
        </is>
      </c>
      <c r="C1491" s="16" t="inlineStr">
        <is>
          <t>8697420532499</t>
        </is>
      </c>
      <c r="D1491" s="17" t="inlineStr">
        <is>
          <t>U/C Baby Shampun 500 ml Yellov</t>
        </is>
      </c>
      <c r="E1491" s="18" t="n">
        <v>2.95</v>
      </c>
      <c r="F1491" s="18" t="n">
        <v>12</v>
      </c>
      <c r="G1491" s="18" t="n">
        <v>465</v>
      </c>
      <c r="H1491" s="18" t="n"/>
      <c r="I1491" s="18" t="n"/>
      <c r="J1491" s="18" t="n"/>
      <c r="K1491" s="19">
        <f>H1491+I1491+J1491</f>
        <v/>
      </c>
      <c r="L1491" s="19">
        <f>K1491-G1491</f>
        <v/>
      </c>
      <c r="M1491" s="20">
        <f>L1491*E1491</f>
        <v/>
      </c>
      <c r="N1491" s="20" t="n">
        <v>50</v>
      </c>
      <c r="O1491" s="20" t="n"/>
      <c r="P1491" s="20">
        <f>O1491-N1491</f>
        <v/>
      </c>
      <c r="Q1491" s="20">
        <f>P1491*E1491</f>
        <v/>
      </c>
      <c r="R1491" s="20" t="n"/>
    </row>
    <row r="1492" ht="20" customHeight="1" s="1">
      <c r="A1492" s="21" t="inlineStr">
        <is>
          <t>14693</t>
        </is>
      </c>
      <c r="B1492" s="22" t="inlineStr">
        <is>
          <t>Ultra Compakt</t>
        </is>
      </c>
      <c r="C1492" s="21" t="inlineStr">
        <is>
          <t>8697420530716</t>
        </is>
      </c>
      <c r="D1492" s="22" t="inlineStr">
        <is>
          <t>U/C Baby Shampun 200 ml Yellov</t>
        </is>
      </c>
      <c r="E1492" s="23" t="n">
        <v>1.8</v>
      </c>
      <c r="F1492" s="23" t="n">
        <v>24</v>
      </c>
      <c r="G1492" s="23" t="n">
        <v>705</v>
      </c>
      <c r="H1492" s="23" t="n"/>
      <c r="I1492" s="23" t="n"/>
      <c r="J1492" s="23" t="n"/>
      <c r="K1492" s="19">
        <f>H1492+I1492+J1492</f>
        <v/>
      </c>
      <c r="L1492" s="19">
        <f>K1492-G1492</f>
        <v/>
      </c>
      <c r="M1492" s="20">
        <f>L1492*E1492</f>
        <v/>
      </c>
      <c r="N1492" s="20" t="n">
        <v>50</v>
      </c>
      <c r="O1492" s="20" t="n"/>
      <c r="P1492" s="20">
        <f>O1492-N1492</f>
        <v/>
      </c>
      <c r="Q1492" s="20">
        <f>P1492*E1492</f>
        <v/>
      </c>
      <c r="R1492" s="20" t="n"/>
    </row>
    <row r="1493" ht="20" customHeight="1" s="1">
      <c r="A1493" s="16" t="inlineStr">
        <is>
          <t>18622</t>
        </is>
      </c>
      <c r="B1493" s="17" t="inlineStr">
        <is>
          <t>Ultra Compakt</t>
        </is>
      </c>
      <c r="C1493" s="16" t="inlineStr">
        <is>
          <t>8697420535742</t>
        </is>
      </c>
      <c r="D1493" s="17" t="inlineStr">
        <is>
          <t>U/C Micellar Suyu Cucumber 400ml</t>
        </is>
      </c>
      <c r="E1493" s="18" t="n">
        <v>4.2</v>
      </c>
      <c r="F1493" s="18" t="n">
        <v>18</v>
      </c>
      <c r="G1493" s="18" t="n">
        <v>5</v>
      </c>
      <c r="H1493" s="18" t="n"/>
      <c r="I1493" s="18" t="n"/>
      <c r="J1493" s="18" t="n"/>
      <c r="K1493" s="19" t="n"/>
      <c r="L1493" s="19" t="n"/>
      <c r="M1493" s="20" t="n"/>
      <c r="N1493" s="20" t="n">
        <v>50</v>
      </c>
      <c r="O1493" s="20" t="n"/>
      <c r="P1493" s="20">
        <f>O1493-N1493</f>
        <v/>
      </c>
      <c r="Q1493" s="20">
        <f>P1493*E1493</f>
        <v/>
      </c>
      <c r="R1493" s="20" t="n"/>
    </row>
    <row r="1494" ht="20" customHeight="1" s="1">
      <c r="A1494" s="21" t="inlineStr">
        <is>
          <t>18919</t>
        </is>
      </c>
      <c r="B1494" s="22" t="inlineStr">
        <is>
          <t>Ultra Compakt</t>
        </is>
      </c>
      <c r="C1494" s="21" t="inlineStr">
        <is>
          <t>8697420536633</t>
        </is>
      </c>
      <c r="D1494" s="22" t="inlineStr">
        <is>
          <t>U/C Micellar Suyu 400ml Aloe Vera</t>
        </is>
      </c>
      <c r="E1494" s="23" t="n">
        <v>4.2</v>
      </c>
      <c r="F1494" s="23" t="n">
        <v>18</v>
      </c>
      <c r="G1494" s="23" t="n">
        <v>43</v>
      </c>
      <c r="H1494" s="23" t="n"/>
      <c r="I1494" s="23" t="n"/>
      <c r="J1494" s="23" t="n"/>
      <c r="K1494" s="19">
        <f>H1494+I1494+J1494</f>
        <v/>
      </c>
      <c r="L1494" s="19">
        <f>K1494-G1494</f>
        <v/>
      </c>
      <c r="M1494" s="20">
        <f>L1494*E1494</f>
        <v/>
      </c>
      <c r="N1494" s="20" t="n">
        <v>50</v>
      </c>
      <c r="O1494" s="20" t="n"/>
      <c r="P1494" s="20">
        <f>O1494-N1494</f>
        <v/>
      </c>
      <c r="Q1494" s="20">
        <f>P1494*E1494</f>
        <v/>
      </c>
      <c r="R1494" s="20" t="n"/>
    </row>
    <row r="1495" ht="20" customHeight="1" s="1">
      <c r="A1495" s="16" t="inlineStr">
        <is>
          <t>21031</t>
        </is>
      </c>
      <c r="B1495" s="17" t="inlineStr">
        <is>
          <t>Ultra Compakt</t>
        </is>
      </c>
      <c r="C1495" s="16" t="inlineStr">
        <is>
          <t>8697420539221</t>
        </is>
      </c>
      <c r="D1495" s="17" t="inlineStr">
        <is>
          <t>U/C Micellar Suyu 400ml Rose</t>
        </is>
      </c>
      <c r="E1495" s="18" t="n">
        <v>4.2</v>
      </c>
      <c r="F1495" s="18" t="n">
        <v>18</v>
      </c>
      <c r="G1495" s="18" t="n">
        <v>1</v>
      </c>
      <c r="H1495" s="18" t="n"/>
      <c r="I1495" s="18" t="n"/>
      <c r="J1495" s="18" t="n"/>
      <c r="K1495" s="19" t="n"/>
      <c r="L1495" s="19" t="n"/>
      <c r="M1495" s="20" t="n"/>
      <c r="N1495" s="20" t="n">
        <v>50</v>
      </c>
      <c r="O1495" s="20" t="n"/>
      <c r="P1495" s="20">
        <f>O1495-N1495</f>
        <v/>
      </c>
      <c r="Q1495" s="20">
        <f>P1495*E1495</f>
        <v/>
      </c>
      <c r="R1495" s="20" t="n"/>
    </row>
    <row r="1496" ht="20" customHeight="1" s="1">
      <c r="A1496" s="21" t="inlineStr">
        <is>
          <t>21032</t>
        </is>
      </c>
      <c r="B1496" s="22" t="inlineStr">
        <is>
          <t>Ultra Compakt</t>
        </is>
      </c>
      <c r="C1496" s="21" t="inlineStr">
        <is>
          <t>8697420539214</t>
        </is>
      </c>
      <c r="D1496" s="22" t="inlineStr">
        <is>
          <t>U/C Micellar Suyu 400ml C Vitamini</t>
        </is>
      </c>
      <c r="E1496" s="23" t="n">
        <v>4.2</v>
      </c>
      <c r="F1496" s="23" t="n">
        <v>18</v>
      </c>
      <c r="G1496" s="23" t="n">
        <v>0</v>
      </c>
      <c r="H1496" s="23" t="n"/>
      <c r="I1496" s="23" t="n"/>
      <c r="J1496" s="23" t="n"/>
      <c r="K1496" s="19">
        <f>H1496+I1496+J1496</f>
        <v/>
      </c>
      <c r="L1496" s="19">
        <f>K1496-G1496</f>
        <v/>
      </c>
      <c r="M1496" s="20">
        <f>L1496*E1496</f>
        <v/>
      </c>
      <c r="N1496" s="20" t="n">
        <v>50</v>
      </c>
      <c r="O1496" s="20" t="n"/>
      <c r="P1496" s="20">
        <f>O1496-N1496</f>
        <v/>
      </c>
      <c r="Q1496" s="20">
        <f>P1496*E1496</f>
        <v/>
      </c>
      <c r="R1496" s="20" t="n"/>
    </row>
    <row r="1497" ht="20" customHeight="1" s="1">
      <c r="A1497" s="16" t="inlineStr">
        <is>
          <t>18601</t>
        </is>
      </c>
      <c r="B1497" s="17" t="inlineStr">
        <is>
          <t>Ultra Compakt</t>
        </is>
      </c>
      <c r="C1497" s="16" t="inlineStr">
        <is>
          <t>8697420535445</t>
        </is>
      </c>
      <c r="D1497" s="17" t="inlineStr">
        <is>
          <t>U/C Cleare shower gel Romantic Rose 500ml</t>
        </is>
      </c>
      <c r="E1497" s="18" t="n">
        <v>2.7</v>
      </c>
      <c r="F1497" s="18" t="n">
        <v>12</v>
      </c>
      <c r="G1497" s="18" t="n">
        <v>122</v>
      </c>
      <c r="H1497" s="18" t="n"/>
      <c r="I1497" s="18" t="n"/>
      <c r="J1497" s="18" t="n"/>
      <c r="K1497" s="19">
        <f>H1497+I1497+J1497</f>
        <v/>
      </c>
      <c r="L1497" s="19">
        <f>K1497-G1497</f>
        <v/>
      </c>
      <c r="M1497" s="20">
        <f>L1497*E1497</f>
        <v/>
      </c>
      <c r="N1497" s="20" t="n">
        <v>50</v>
      </c>
      <c r="O1497" s="20" t="n"/>
      <c r="P1497" s="20">
        <f>O1497-N1497</f>
        <v/>
      </c>
      <c r="Q1497" s="20">
        <f>P1497*E1497</f>
        <v/>
      </c>
      <c r="R1497" s="20" t="n"/>
    </row>
    <row r="1498" ht="20" customHeight="1" s="1">
      <c r="A1498" s="21" t="inlineStr">
        <is>
          <t>18602</t>
        </is>
      </c>
      <c r="B1498" s="22" t="inlineStr">
        <is>
          <t>Ultra Compakt</t>
        </is>
      </c>
      <c r="C1498" s="21" t="inlineStr">
        <is>
          <t>8697420535438</t>
        </is>
      </c>
      <c r="D1498" s="22" t="inlineStr">
        <is>
          <t>U/C Cleare shower gel Amber&amp;Oud 500ml</t>
        </is>
      </c>
      <c r="E1498" s="23" t="n">
        <v>2.7</v>
      </c>
      <c r="F1498" s="23" t="n">
        <v>12</v>
      </c>
      <c r="G1498" s="23" t="n">
        <v>127</v>
      </c>
      <c r="H1498" s="23" t="n"/>
      <c r="I1498" s="23" t="n"/>
      <c r="J1498" s="23" t="n"/>
      <c r="K1498" s="19">
        <f>H1498+I1498+J1498</f>
        <v/>
      </c>
      <c r="L1498" s="19">
        <f>K1498-G1498</f>
        <v/>
      </c>
      <c r="M1498" s="20">
        <f>L1498*E1498</f>
        <v/>
      </c>
      <c r="N1498" s="20" t="n">
        <v>50</v>
      </c>
      <c r="O1498" s="20" t="n"/>
      <c r="P1498" s="20">
        <f>O1498-N1498</f>
        <v/>
      </c>
      <c r="Q1498" s="20">
        <f>P1498*E1498</f>
        <v/>
      </c>
      <c r="R1498" s="20" t="n"/>
    </row>
    <row r="1499" ht="20" customHeight="1" s="1">
      <c r="A1499" s="16" t="inlineStr">
        <is>
          <t>18603</t>
        </is>
      </c>
      <c r="B1499" s="17" t="inlineStr">
        <is>
          <t>Ultra Compakt</t>
        </is>
      </c>
      <c r="C1499" s="16" t="inlineStr">
        <is>
          <t>8697420535452</t>
        </is>
      </c>
      <c r="D1499" s="17" t="inlineStr">
        <is>
          <t>U/C Cleare shower gel Passion of  Fruits 500ml</t>
        </is>
      </c>
      <c r="E1499" s="18" t="n">
        <v>2.7</v>
      </c>
      <c r="F1499" s="18" t="n">
        <v>12</v>
      </c>
      <c r="G1499" s="18" t="n">
        <v>134</v>
      </c>
      <c r="H1499" s="18" t="n"/>
      <c r="I1499" s="18" t="n"/>
      <c r="J1499" s="18" t="n"/>
      <c r="K1499" s="19">
        <f>H1499+I1499+J1499</f>
        <v/>
      </c>
      <c r="L1499" s="19">
        <f>K1499-G1499</f>
        <v/>
      </c>
      <c r="M1499" s="20">
        <f>L1499*E1499</f>
        <v/>
      </c>
      <c r="N1499" s="20" t="n">
        <v>50</v>
      </c>
      <c r="O1499" s="20" t="n"/>
      <c r="P1499" s="20">
        <f>O1499-N1499</f>
        <v/>
      </c>
      <c r="Q1499" s="20">
        <f>P1499*E1499</f>
        <v/>
      </c>
      <c r="R1499" s="20" t="n"/>
    </row>
    <row r="1500" ht="20" customHeight="1" s="1">
      <c r="A1500" s="21" t="inlineStr">
        <is>
          <t>18615</t>
        </is>
      </c>
      <c r="B1500" s="22" t="inlineStr">
        <is>
          <t>Ultra Compakt</t>
        </is>
      </c>
      <c r="C1500" s="21" t="inlineStr">
        <is>
          <t>8697420536008</t>
        </is>
      </c>
      <c r="D1500" s="22" t="inlineStr">
        <is>
          <t>U/C Hava teravetlendirici Cashmere 100 ml</t>
        </is>
      </c>
      <c r="E1500" s="23" t="n">
        <v>4.3</v>
      </c>
      <c r="F1500" s="23" t="n">
        <v>48</v>
      </c>
      <c r="G1500" s="23" t="n">
        <v>48</v>
      </c>
      <c r="H1500" s="23" t="n"/>
      <c r="I1500" s="23" t="n"/>
      <c r="J1500" s="23" t="n"/>
      <c r="K1500" s="19">
        <f>H1500+I1500+J1500</f>
        <v/>
      </c>
      <c r="L1500" s="19">
        <f>K1500-G1500</f>
        <v/>
      </c>
      <c r="M1500" s="20">
        <f>L1500*E1500</f>
        <v/>
      </c>
      <c r="N1500" s="20" t="n">
        <v>50</v>
      </c>
      <c r="O1500" s="20" t="n"/>
      <c r="P1500" s="20">
        <f>O1500-N1500</f>
        <v/>
      </c>
      <c r="Q1500" s="20">
        <f>P1500*E1500</f>
        <v/>
      </c>
      <c r="R1500" s="20" t="n"/>
    </row>
    <row r="1501" ht="20" customHeight="1" s="1">
      <c r="A1501" s="16" t="inlineStr">
        <is>
          <t>18616</t>
        </is>
      </c>
      <c r="B1501" s="17" t="inlineStr">
        <is>
          <t>Ultra Compakt</t>
        </is>
      </c>
      <c r="C1501" s="16" t="inlineStr">
        <is>
          <t>8697420536022</t>
        </is>
      </c>
      <c r="D1501" s="17" t="inlineStr">
        <is>
          <t>U/C Hava teravetlendirici Sandalwood 100ml</t>
        </is>
      </c>
      <c r="E1501" s="18" t="n">
        <v>4.3</v>
      </c>
      <c r="F1501" s="18" t="n">
        <v>48</v>
      </c>
      <c r="G1501" s="18" t="n">
        <v>48</v>
      </c>
      <c r="H1501" s="18" t="n"/>
      <c r="I1501" s="18" t="n"/>
      <c r="J1501" s="18" t="n"/>
      <c r="K1501" s="19">
        <f>H1501+I1501+J1501</f>
        <v/>
      </c>
      <c r="L1501" s="19">
        <f>K1501-G1501</f>
        <v/>
      </c>
      <c r="M1501" s="20">
        <f>L1501*E1501</f>
        <v/>
      </c>
      <c r="N1501" s="20" t="n">
        <v>50</v>
      </c>
      <c r="O1501" s="20" t="n"/>
      <c r="P1501" s="20">
        <f>O1501-N1501</f>
        <v/>
      </c>
      <c r="Q1501" s="20">
        <f>P1501*E1501</f>
        <v/>
      </c>
      <c r="R1501" s="20" t="n"/>
    </row>
    <row r="1502" ht="20" customHeight="1" s="1">
      <c r="A1502" s="21" t="inlineStr">
        <is>
          <t>18617</t>
        </is>
      </c>
      <c r="B1502" s="22" t="inlineStr">
        <is>
          <t>Ultra Compakt</t>
        </is>
      </c>
      <c r="C1502" s="21" t="inlineStr">
        <is>
          <t>8697420536015</t>
        </is>
      </c>
      <c r="D1502" s="22" t="inlineStr">
        <is>
          <t>U/C Hava teravetlendirici Black Rose 100ml</t>
        </is>
      </c>
      <c r="E1502" s="23" t="n">
        <v>4.3</v>
      </c>
      <c r="F1502" s="23" t="n">
        <v>48</v>
      </c>
      <c r="G1502" s="23" t="n">
        <v>43</v>
      </c>
      <c r="H1502" s="23" t="n"/>
      <c r="I1502" s="23" t="n"/>
      <c r="J1502" s="23" t="n"/>
      <c r="K1502" s="19">
        <f>H1502+I1502+J1502</f>
        <v/>
      </c>
      <c r="L1502" s="19">
        <f>K1502-G1502</f>
        <v/>
      </c>
      <c r="M1502" s="20">
        <f>L1502*E1502</f>
        <v/>
      </c>
      <c r="N1502" s="20" t="n">
        <v>50</v>
      </c>
      <c r="O1502" s="20" t="n"/>
      <c r="P1502" s="20">
        <f>O1502-N1502</f>
        <v/>
      </c>
      <c r="Q1502" s="20">
        <f>P1502*E1502</f>
        <v/>
      </c>
      <c r="R1502" s="20" t="n"/>
    </row>
    <row r="1503" ht="20" customHeight="1" s="1">
      <c r="A1503" s="16" t="inlineStr">
        <is>
          <t>19536</t>
        </is>
      </c>
      <c r="B1503" s="17" t="inlineStr">
        <is>
          <t>Ultra Compakt</t>
        </is>
      </c>
      <c r="C1503" s="16" t="inlineStr">
        <is>
          <t>8697420536718</t>
        </is>
      </c>
      <c r="D1503" s="17" t="inlineStr">
        <is>
          <t>U/C For Men Dus qeli 250ml</t>
        </is>
      </c>
      <c r="E1503" s="18" t="n">
        <v>2.8</v>
      </c>
      <c r="F1503" s="18" t="n">
        <v>24</v>
      </c>
      <c r="G1503" s="18" t="n">
        <v>19</v>
      </c>
      <c r="H1503" s="18" t="n"/>
      <c r="I1503" s="18" t="n"/>
      <c r="J1503" s="18" t="n"/>
      <c r="K1503" s="19" t="n"/>
      <c r="L1503" s="19" t="n"/>
      <c r="M1503" s="20" t="n"/>
      <c r="N1503" s="20" t="n">
        <v>50</v>
      </c>
      <c r="O1503" s="20" t="n"/>
      <c r="P1503" s="20">
        <f>O1503-N1503</f>
        <v/>
      </c>
      <c r="Q1503" s="20">
        <f>P1503*E1503</f>
        <v/>
      </c>
      <c r="R1503" s="20" t="n"/>
    </row>
    <row r="1504" ht="20" customHeight="1" s="1">
      <c r="A1504" s="21" t="inlineStr">
        <is>
          <t>19546</t>
        </is>
      </c>
      <c r="B1504" s="22" t="inlineStr">
        <is>
          <t>Ultra Compakt</t>
        </is>
      </c>
      <c r="C1504" s="21" t="inlineStr">
        <is>
          <t>8697420536824</t>
        </is>
      </c>
      <c r="D1504" s="22" t="inlineStr">
        <is>
          <t>U/C For Men Tuk tokucu krem 150ml</t>
        </is>
      </c>
      <c r="E1504" s="23" t="n">
        <v>8.5</v>
      </c>
      <c r="F1504" s="23" t="n">
        <v>24</v>
      </c>
      <c r="G1504" s="23" t="n">
        <v>14</v>
      </c>
      <c r="H1504" s="23" t="n"/>
      <c r="I1504" s="23" t="n"/>
      <c r="J1504" s="23" t="n"/>
      <c r="K1504" s="19" t="n"/>
      <c r="L1504" s="19" t="n"/>
      <c r="M1504" s="20" t="n"/>
      <c r="N1504" s="20" t="n">
        <v>50</v>
      </c>
      <c r="O1504" s="20" t="n"/>
      <c r="P1504" s="20">
        <f>O1504-N1504</f>
        <v/>
      </c>
      <c r="Q1504" s="20">
        <f>P1504*E1504</f>
        <v/>
      </c>
      <c r="R1504" s="20" t="n"/>
    </row>
    <row r="1505" ht="20" customHeight="1" s="1">
      <c r="A1505" s="16" t="inlineStr">
        <is>
          <t>20258</t>
        </is>
      </c>
      <c r="B1505" s="17" t="inlineStr">
        <is>
          <t>Ultra Compakt</t>
        </is>
      </c>
      <c r="C1505" s="16" t="inlineStr">
        <is>
          <t>8697420536831</t>
        </is>
      </c>
      <c r="D1505" s="17" t="inlineStr">
        <is>
          <t>U/C For Woman Tuk tokucu krem 150ml</t>
        </is>
      </c>
      <c r="E1505" s="18" t="n">
        <v>8.5</v>
      </c>
      <c r="F1505" s="18" t="n">
        <v>24</v>
      </c>
      <c r="G1505" s="18" t="n">
        <v>24</v>
      </c>
      <c r="H1505" s="18" t="n"/>
      <c r="I1505" s="18" t="n"/>
      <c r="J1505" s="18" t="n"/>
      <c r="K1505" s="19" t="n"/>
      <c r="L1505" s="19" t="n"/>
      <c r="M1505" s="20" t="n"/>
      <c r="N1505" s="20" t="n">
        <v>50</v>
      </c>
      <c r="O1505" s="20" t="n"/>
      <c r="P1505" s="20">
        <f>O1505-N1505</f>
        <v/>
      </c>
      <c r="Q1505" s="20">
        <f>P1505*E1505</f>
        <v/>
      </c>
      <c r="R1505" s="20" t="n"/>
    </row>
    <row r="1506" ht="20" customHeight="1" s="1">
      <c r="A1506" s="21" t="inlineStr">
        <is>
          <t>19541</t>
        </is>
      </c>
      <c r="B1506" s="22" t="inlineStr">
        <is>
          <t>Ultra Compakt</t>
        </is>
      </c>
      <c r="C1506" s="21" t="inlineStr">
        <is>
          <t>8697420536695</t>
        </is>
      </c>
      <c r="D1506" s="22" t="inlineStr">
        <is>
          <t>U/C For Men Terasdan sonra uz spreyi 100ml</t>
        </is>
      </c>
      <c r="E1506" s="23" t="n">
        <v>2.3</v>
      </c>
      <c r="F1506" s="23" t="n">
        <v>48</v>
      </c>
      <c r="G1506" s="23" t="n">
        <v>29</v>
      </c>
      <c r="H1506" s="23" t="n"/>
      <c r="I1506" s="23" t="n"/>
      <c r="J1506" s="23" t="n"/>
      <c r="K1506" s="19">
        <f>H1506+I1506+J1506</f>
        <v/>
      </c>
      <c r="L1506" s="19">
        <f>K1506-G1506</f>
        <v/>
      </c>
      <c r="M1506" s="20">
        <f>L1506*E1506</f>
        <v/>
      </c>
      <c r="N1506" s="20" t="n">
        <v>50</v>
      </c>
      <c r="O1506" s="20" t="n"/>
      <c r="P1506" s="20">
        <f>O1506-N1506</f>
        <v/>
      </c>
      <c r="Q1506" s="20">
        <f>P1506*E1506</f>
        <v/>
      </c>
      <c r="R1506" s="20" t="n"/>
    </row>
    <row r="1507" ht="20" customHeight="1" s="1">
      <c r="A1507" s="16" t="inlineStr">
        <is>
          <t>19537</t>
        </is>
      </c>
      <c r="B1507" s="17" t="inlineStr">
        <is>
          <t>Ultra Compakt</t>
        </is>
      </c>
      <c r="C1507" s="16" t="inlineStr">
        <is>
          <t>8697420536640</t>
        </is>
      </c>
      <c r="D1507" s="17" t="inlineStr">
        <is>
          <t>U/C For Men Beden Spreyi  Brave 100ml</t>
        </is>
      </c>
      <c r="E1507" s="18" t="n">
        <v>3.5</v>
      </c>
      <c r="F1507" s="18" t="n">
        <v>48</v>
      </c>
      <c r="G1507" s="18" t="n">
        <v>49</v>
      </c>
      <c r="H1507" s="18" t="n"/>
      <c r="I1507" s="18" t="n"/>
      <c r="J1507" s="18" t="n"/>
      <c r="K1507" s="19">
        <f>H1507+I1507+J1507</f>
        <v/>
      </c>
      <c r="L1507" s="19">
        <f>K1507-G1507</f>
        <v/>
      </c>
      <c r="M1507" s="20">
        <f>L1507*E1507</f>
        <v/>
      </c>
      <c r="N1507" s="20" t="n">
        <v>50</v>
      </c>
      <c r="O1507" s="20" t="n"/>
      <c r="P1507" s="20">
        <f>O1507-N1507</f>
        <v/>
      </c>
      <c r="Q1507" s="20">
        <f>P1507*E1507</f>
        <v/>
      </c>
      <c r="R1507" s="20" t="n"/>
    </row>
    <row r="1508" ht="20" customHeight="1" s="1">
      <c r="A1508" s="21" t="inlineStr">
        <is>
          <t>21681</t>
        </is>
      </c>
      <c r="B1508" s="22" t="inlineStr">
        <is>
          <t>SYNERGETIC</t>
        </is>
      </c>
      <c r="C1508" s="21" t="inlineStr">
        <is>
          <t>4607971454120</t>
        </is>
      </c>
      <c r="D1508" s="22" t="inlineStr">
        <is>
          <t>Syng konsentrirovanniy qel dlya stirki ULa White 1,5L</t>
        </is>
      </c>
      <c r="E1508" s="23" t="n">
        <v>15.59</v>
      </c>
      <c r="F1508" s="23" t="n">
        <v>6</v>
      </c>
      <c r="G1508" s="23" t="n">
        <v>3</v>
      </c>
      <c r="H1508" s="23" t="n"/>
      <c r="I1508" s="23" t="n"/>
      <c r="J1508" s="23" t="n"/>
      <c r="K1508" s="19" t="n"/>
      <c r="L1508" s="19" t="n"/>
      <c r="M1508" s="20" t="n"/>
      <c r="N1508" s="20" t="n">
        <v>50</v>
      </c>
      <c r="O1508" s="20" t="n"/>
      <c r="P1508" s="20">
        <f>O1508-N1508</f>
        <v/>
      </c>
      <c r="Q1508" s="20">
        <f>P1508*E1508</f>
        <v/>
      </c>
      <c r="R1508" s="20" t="n"/>
    </row>
    <row r="1509" ht="20" customHeight="1" s="1">
      <c r="A1509" s="16" t="inlineStr">
        <is>
          <t>21682</t>
        </is>
      </c>
      <c r="B1509" s="17" t="inlineStr">
        <is>
          <t>SYNERGETIC</t>
        </is>
      </c>
      <c r="C1509" s="16" t="inlineStr">
        <is>
          <t>4607971454045</t>
        </is>
      </c>
      <c r="D1509" s="17" t="inlineStr">
        <is>
          <t>Syng konsentrirovanniy qel dlya stirki Color 1,5L</t>
        </is>
      </c>
      <c r="E1509" s="18" t="n">
        <v>15.59</v>
      </c>
      <c r="F1509" s="18" t="n">
        <v>6</v>
      </c>
      <c r="G1509" s="18" t="n">
        <v>3</v>
      </c>
      <c r="H1509" s="18" t="n"/>
      <c r="I1509" s="18" t="n"/>
      <c r="J1509" s="18" t="n"/>
      <c r="K1509" s="19" t="n"/>
      <c r="L1509" s="19" t="n"/>
      <c r="M1509" s="20" t="n"/>
      <c r="N1509" s="20" t="n">
        <v>50</v>
      </c>
      <c r="O1509" s="20" t="n"/>
      <c r="P1509" s="20">
        <f>O1509-N1509</f>
        <v/>
      </c>
      <c r="Q1509" s="20">
        <f>P1509*E1509</f>
        <v/>
      </c>
      <c r="R1509" s="20" t="n"/>
    </row>
    <row r="1510" ht="20" customHeight="1" s="1">
      <c r="A1510" s="21" t="inlineStr">
        <is>
          <t>21693</t>
        </is>
      </c>
      <c r="B1510" s="22" t="inlineStr">
        <is>
          <t>SYNERGETIC</t>
        </is>
      </c>
      <c r="C1510" s="21" t="inlineStr">
        <is>
          <t>4613720439058</t>
        </is>
      </c>
      <c r="D1510" s="22" t="inlineStr">
        <is>
          <t>Syng konsentrirovanniy qel dlya stirki Universalniy 1L</t>
        </is>
      </c>
      <c r="E1510" s="23" t="n">
        <v>8.869999999999999</v>
      </c>
      <c r="F1510" s="23" t="n">
        <v>8</v>
      </c>
      <c r="G1510" s="23" t="n">
        <v>11</v>
      </c>
      <c r="H1510" s="23" t="n"/>
      <c r="I1510" s="23" t="n"/>
      <c r="J1510" s="23" t="n"/>
      <c r="K1510" s="19" t="n"/>
      <c r="L1510" s="19" t="n"/>
      <c r="M1510" s="20" t="n"/>
      <c r="N1510" s="20" t="n">
        <v>50</v>
      </c>
      <c r="O1510" s="20" t="n"/>
      <c r="P1510" s="20">
        <f>O1510-N1510</f>
        <v/>
      </c>
      <c r="Q1510" s="20">
        <f>P1510*E1510</f>
        <v/>
      </c>
      <c r="R1510" s="20" t="n"/>
    </row>
    <row r="1511" ht="20" customHeight="1" s="1">
      <c r="A1511" s="16" t="inlineStr">
        <is>
          <t>21694</t>
        </is>
      </c>
      <c r="B1511" s="17" t="inlineStr">
        <is>
          <t>SYNERGETIC</t>
        </is>
      </c>
      <c r="C1511" s="16" t="inlineStr">
        <is>
          <t>4623722258199</t>
        </is>
      </c>
      <c r="D1511" s="17" t="inlineStr">
        <is>
          <t>Syng kondisioner-opolaskivatel dlya belya rayskiy sad 1L</t>
        </is>
      </c>
      <c r="E1511" s="18" t="n">
        <v>5.43</v>
      </c>
      <c r="F1511" s="18" t="n">
        <v>8</v>
      </c>
      <c r="G1511" s="18" t="n">
        <v>21</v>
      </c>
      <c r="H1511" s="18" t="n"/>
      <c r="I1511" s="18" t="n"/>
      <c r="J1511" s="18" t="n"/>
      <c r="K1511" s="19">
        <f>H1511+I1511+J1511</f>
        <v/>
      </c>
      <c r="L1511" s="19">
        <f>K1511-G1511</f>
        <v/>
      </c>
      <c r="M1511" s="20">
        <f>L1511*E1511</f>
        <v/>
      </c>
      <c r="N1511" s="20" t="n">
        <v>50</v>
      </c>
      <c r="O1511" s="20" t="n">
        <v>30</v>
      </c>
      <c r="P1511" s="20">
        <f>O1511-N1511</f>
        <v/>
      </c>
      <c r="Q1511" s="20">
        <f>P1511*E1511</f>
        <v/>
      </c>
      <c r="R1511" s="20" t="inlineStr">
        <is>
          <t>Orxan</t>
        </is>
      </c>
    </row>
    <row r="1512" ht="20" customHeight="1" s="1">
      <c r="A1512" s="21" t="inlineStr">
        <is>
          <t>21695</t>
        </is>
      </c>
      <c r="B1512" s="22" t="inlineStr">
        <is>
          <t>SYNERGETIC</t>
        </is>
      </c>
      <c r="C1512" s="21" t="inlineStr">
        <is>
          <t>4623722258229</t>
        </is>
      </c>
      <c r="D1512" s="22" t="inlineStr">
        <is>
          <t>Syng kondisioner-opolaskivatel dlya belya utrennaya rosa 1L</t>
        </is>
      </c>
      <c r="E1512" s="23" t="n">
        <v>5.43</v>
      </c>
      <c r="F1512" s="23" t="n">
        <v>8</v>
      </c>
      <c r="G1512" s="23" t="n">
        <v>20</v>
      </c>
      <c r="H1512" s="23" t="n"/>
      <c r="I1512" s="23" t="n"/>
      <c r="J1512" s="23" t="n"/>
      <c r="K1512" s="19">
        <f>H1512+I1512+J1512</f>
        <v/>
      </c>
      <c r="L1512" s="19">
        <f>K1512-G1512</f>
        <v/>
      </c>
      <c r="M1512" s="20">
        <f>L1512*E1512</f>
        <v/>
      </c>
      <c r="N1512" s="20" t="n">
        <v>50</v>
      </c>
      <c r="O1512" s="20" t="n"/>
      <c r="P1512" s="20">
        <f>O1512-N1512</f>
        <v/>
      </c>
      <c r="Q1512" s="20">
        <f>P1512*E1512</f>
        <v/>
      </c>
      <c r="R1512" s="20" t="n"/>
    </row>
    <row r="1513" ht="20" customHeight="1" s="1">
      <c r="A1513" s="16" t="inlineStr">
        <is>
          <t>21696</t>
        </is>
      </c>
      <c r="B1513" s="17" t="inlineStr">
        <is>
          <t>SYNERGETIC</t>
        </is>
      </c>
      <c r="C1513" s="16" t="inlineStr">
        <is>
          <t>4623722258205</t>
        </is>
      </c>
      <c r="D1513" s="17" t="inlineStr">
        <is>
          <t>Syng kondis.-opolaskivatel dlya belya lavandovoe pole 1L</t>
        </is>
      </c>
      <c r="E1513" s="18" t="n">
        <v>5.43</v>
      </c>
      <c r="F1513" s="18" t="n">
        <v>8</v>
      </c>
      <c r="G1513" s="18" t="n">
        <v>9</v>
      </c>
      <c r="H1513" s="18" t="n"/>
      <c r="I1513" s="18" t="n"/>
      <c r="J1513" s="18" t="n"/>
      <c r="K1513" s="19">
        <f>H1513+I1513+J1513</f>
        <v/>
      </c>
      <c r="L1513" s="19">
        <f>K1513-G1513</f>
        <v/>
      </c>
      <c r="M1513" s="20">
        <f>L1513*E1513</f>
        <v/>
      </c>
      <c r="N1513" s="20" t="n">
        <v>50</v>
      </c>
      <c r="O1513" s="20" t="n"/>
      <c r="P1513" s="20">
        <f>O1513-N1513</f>
        <v/>
      </c>
      <c r="Q1513" s="20">
        <f>P1513*E1513</f>
        <v/>
      </c>
      <c r="R1513" s="20" t="n"/>
    </row>
    <row r="1514" ht="20" customHeight="1" s="1">
      <c r="A1514" s="21" t="inlineStr">
        <is>
          <t>21697</t>
        </is>
      </c>
      <c r="B1514" s="22" t="inlineStr">
        <is>
          <t>SYNERGETIC</t>
        </is>
      </c>
      <c r="C1514" s="21" t="inlineStr">
        <is>
          <t>4613720439072</t>
        </is>
      </c>
      <c r="D1514" s="22" t="inlineStr">
        <is>
          <t>Syng kondisioner-opolaskivatel dlya belya aromamaqia 1L</t>
        </is>
      </c>
      <c r="E1514" s="23" t="n">
        <v>5.43</v>
      </c>
      <c r="F1514" s="23" t="n">
        <v>8</v>
      </c>
      <c r="G1514" s="23" t="n">
        <v>20</v>
      </c>
      <c r="H1514" s="23" t="n"/>
      <c r="I1514" s="23" t="n"/>
      <c r="J1514" s="23" t="n"/>
      <c r="K1514" s="19">
        <f>H1514+I1514+J1514</f>
        <v/>
      </c>
      <c r="L1514" s="19">
        <f>K1514-G1514</f>
        <v/>
      </c>
      <c r="M1514" s="20">
        <f>L1514*E1514</f>
        <v/>
      </c>
      <c r="N1514" s="20" t="n">
        <v>50</v>
      </c>
      <c r="O1514" s="20" t="n"/>
      <c r="P1514" s="20">
        <f>O1514-N1514</f>
        <v/>
      </c>
      <c r="Q1514" s="20">
        <f>P1514*E1514</f>
        <v/>
      </c>
      <c r="R1514" s="20" t="n"/>
    </row>
    <row r="1515" ht="20" customHeight="1" s="1">
      <c r="A1515" s="16" t="inlineStr">
        <is>
          <t>21698</t>
        </is>
      </c>
      <c r="B1515" s="17" t="inlineStr">
        <is>
          <t>SYNERGETIC</t>
        </is>
      </c>
      <c r="C1515" s="16" t="inlineStr">
        <is>
          <t>4613720438884</t>
        </is>
      </c>
      <c r="D1515" s="17" t="inlineStr">
        <is>
          <t>Syng sredstvo dlya mitya posudi s aromatom limona 1L</t>
        </is>
      </c>
      <c r="E1515" s="18" t="n">
        <v>6.54</v>
      </c>
      <c r="F1515" s="18" t="n">
        <v>8</v>
      </c>
      <c r="G1515" s="18" t="n">
        <v>14</v>
      </c>
      <c r="H1515" s="18" t="n"/>
      <c r="I1515" s="18" t="n"/>
      <c r="J1515" s="18" t="n"/>
      <c r="K1515" s="19" t="n"/>
      <c r="L1515" s="19" t="n"/>
      <c r="M1515" s="20" t="n"/>
      <c r="N1515" s="20" t="n">
        <v>50</v>
      </c>
      <c r="O1515" s="20" t="n"/>
      <c r="P1515" s="20">
        <f>O1515-N1515</f>
        <v/>
      </c>
      <c r="Q1515" s="20">
        <f>P1515*E1515</f>
        <v/>
      </c>
      <c r="R1515" s="20" t="n"/>
    </row>
    <row r="1516" ht="20" customHeight="1" s="1">
      <c r="A1516" s="21" t="inlineStr">
        <is>
          <t>21699</t>
        </is>
      </c>
      <c r="B1516" s="22" t="inlineStr">
        <is>
          <t>SYNERGETIC</t>
        </is>
      </c>
      <c r="C1516" s="21" t="inlineStr">
        <is>
          <t>4623721671470</t>
        </is>
      </c>
      <c r="D1516" s="22" t="inlineStr">
        <is>
          <t>Syng sredstvo dlya mitya posudi s aromatom aloe 1L</t>
        </is>
      </c>
      <c r="E1516" s="23" t="n">
        <v>6.54</v>
      </c>
      <c r="F1516" s="23" t="n">
        <v>8</v>
      </c>
      <c r="G1516" s="23" t="n">
        <v>13</v>
      </c>
      <c r="H1516" s="23" t="n"/>
      <c r="I1516" s="23" t="n"/>
      <c r="J1516" s="23" t="n"/>
      <c r="K1516" s="19">
        <f>H1516+I1516+J1516</f>
        <v/>
      </c>
      <c r="L1516" s="19">
        <f>K1516-G1516</f>
        <v/>
      </c>
      <c r="M1516" s="20">
        <f>L1516*E1516</f>
        <v/>
      </c>
      <c r="N1516" s="20" t="n">
        <v>50</v>
      </c>
      <c r="O1516" s="20" t="n"/>
      <c r="P1516" s="20">
        <f>O1516-N1516</f>
        <v/>
      </c>
      <c r="Q1516" s="20">
        <f>P1516*E1516</f>
        <v/>
      </c>
      <c r="R1516" s="20" t="n"/>
    </row>
    <row r="1517" ht="20" customHeight="1" s="1">
      <c r="A1517" s="16" t="inlineStr">
        <is>
          <t>21700</t>
        </is>
      </c>
      <c r="B1517" s="17" t="inlineStr">
        <is>
          <t>SYNERGETIC</t>
        </is>
      </c>
      <c r="C1517" s="16" t="inlineStr">
        <is>
          <t>4607971453659</t>
        </is>
      </c>
      <c r="D1517" s="17" t="inlineStr">
        <is>
          <t>Syng qel-balz.dlya posudi dets.iqrusek rozmarin I list.smord.1L</t>
        </is>
      </c>
      <c r="E1517" s="18" t="n">
        <v>6.65</v>
      </c>
      <c r="F1517" s="18" t="n">
        <v>8</v>
      </c>
      <c r="G1517" s="18" t="n">
        <v>5</v>
      </c>
      <c r="H1517" s="18" t="n"/>
      <c r="I1517" s="18" t="n"/>
      <c r="J1517" s="18" t="n"/>
      <c r="K1517" s="19" t="n"/>
      <c r="L1517" s="19" t="n"/>
      <c r="M1517" s="20" t="n"/>
      <c r="N1517" s="20" t="n">
        <v>50</v>
      </c>
      <c r="O1517" s="20" t="n"/>
      <c r="P1517" s="20">
        <f>O1517-N1517</f>
        <v/>
      </c>
      <c r="Q1517" s="20">
        <f>P1517*E1517</f>
        <v/>
      </c>
      <c r="R1517" s="20" t="n"/>
    </row>
    <row r="1518" ht="20" customHeight="1" s="1">
      <c r="A1518" s="21" t="inlineStr">
        <is>
          <t>21686</t>
        </is>
      </c>
      <c r="B1518" s="22" t="inlineStr">
        <is>
          <t>SYNERGETIC</t>
        </is>
      </c>
      <c r="C1518" s="21" t="inlineStr">
        <is>
          <t>4607971450207</t>
        </is>
      </c>
      <c r="D1518" s="22" t="inlineStr">
        <is>
          <t>Syng sredstvo dlya mitya poverxnostey aromamaqia 0,75L</t>
        </is>
      </c>
      <c r="E1518" s="23" t="n">
        <v>4.93</v>
      </c>
      <c r="F1518" s="23" t="n">
        <v>12</v>
      </c>
      <c r="G1518" s="23" t="n">
        <v>24</v>
      </c>
      <c r="H1518" s="23" t="n"/>
      <c r="I1518" s="23" t="n"/>
      <c r="J1518" s="23" t="n"/>
      <c r="K1518" s="19" t="n"/>
      <c r="L1518" s="19" t="n"/>
      <c r="M1518" s="20" t="n"/>
      <c r="N1518" s="20" t="n">
        <v>50</v>
      </c>
      <c r="O1518" s="20" t="n"/>
      <c r="P1518" s="20">
        <f>O1518-N1518</f>
        <v/>
      </c>
      <c r="Q1518" s="20">
        <f>P1518*E1518</f>
        <v/>
      </c>
      <c r="R1518" s="20" t="n"/>
    </row>
    <row r="1519" ht="20" customHeight="1" s="1">
      <c r="A1519" s="16" t="inlineStr">
        <is>
          <t>21687</t>
        </is>
      </c>
      <c r="B1519" s="17" t="inlineStr">
        <is>
          <t>SYNERGETIC</t>
        </is>
      </c>
      <c r="C1519" s="16" t="inlineStr">
        <is>
          <t>4607971450160</t>
        </is>
      </c>
      <c r="D1519" s="17" t="inlineStr">
        <is>
          <t>Syng sredstvo dlya mitya poverxnostey qornaya lavanda 0,75L</t>
        </is>
      </c>
      <c r="E1519" s="18" t="n">
        <v>4.93</v>
      </c>
      <c r="F1519" s="18" t="n">
        <v>12</v>
      </c>
      <c r="G1519" s="18" t="n">
        <v>27</v>
      </c>
      <c r="H1519" s="18" t="n"/>
      <c r="I1519" s="18" t="n"/>
      <c r="J1519" s="18" t="n"/>
      <c r="K1519" s="19">
        <f>H1519+I1519+J1519</f>
        <v/>
      </c>
      <c r="L1519" s="19">
        <f>K1519-G1519</f>
        <v/>
      </c>
      <c r="M1519" s="20">
        <f>L1519*E1519</f>
        <v/>
      </c>
      <c r="N1519" s="20" t="n">
        <v>50</v>
      </c>
      <c r="O1519" s="20" t="n"/>
      <c r="P1519" s="20">
        <f>O1519-N1519</f>
        <v/>
      </c>
      <c r="Q1519" s="20">
        <f>P1519*E1519</f>
        <v/>
      </c>
      <c r="R1519" s="20" t="n"/>
    </row>
    <row r="1520" ht="20" customHeight="1" s="1">
      <c r="A1520" s="21" t="inlineStr">
        <is>
          <t>21689</t>
        </is>
      </c>
      <c r="B1520" s="22" t="inlineStr">
        <is>
          <t>SYNERGETIC</t>
        </is>
      </c>
      <c r="C1520" s="21" t="inlineStr">
        <is>
          <t>4623721671449</t>
        </is>
      </c>
      <c r="D1520" s="22" t="inlineStr">
        <is>
          <t>Syng sredstvo dlya mitya posudi s aromatom yabloka 0,5L</t>
        </is>
      </c>
      <c r="E1520" s="23" t="n">
        <v>3.33</v>
      </c>
      <c r="F1520" s="23" t="n">
        <v>14</v>
      </c>
      <c r="G1520" s="23" t="n">
        <v>14</v>
      </c>
      <c r="H1520" s="23" t="n"/>
      <c r="I1520" s="23" t="n"/>
      <c r="J1520" s="23" t="n"/>
      <c r="K1520" s="19" t="n"/>
      <c r="L1520" s="19" t="n"/>
      <c r="M1520" s="20" t="n"/>
      <c r="N1520" s="20" t="n">
        <v>50</v>
      </c>
      <c r="O1520" s="20" t="n"/>
      <c r="P1520" s="20">
        <f>O1520-N1520</f>
        <v/>
      </c>
      <c r="Q1520" s="20">
        <f>P1520*E1520</f>
        <v/>
      </c>
      <c r="R1520" s="20" t="n"/>
    </row>
    <row r="1521" ht="20" customHeight="1" s="1">
      <c r="A1521" s="16" t="inlineStr">
        <is>
          <t>21690</t>
        </is>
      </c>
      <c r="B1521" s="17" t="inlineStr">
        <is>
          <t>SYNERGETIC</t>
        </is>
      </c>
      <c r="C1521" s="16" t="inlineStr">
        <is>
          <t>4613720438877</t>
        </is>
      </c>
      <c r="D1521" s="17" t="inlineStr">
        <is>
          <t>Syng sredstvo dlya mitya posudi s aromatom limona 0,5L</t>
        </is>
      </c>
      <c r="E1521" s="18" t="n">
        <v>3.33</v>
      </c>
      <c r="F1521" s="18" t="n">
        <v>14</v>
      </c>
      <c r="G1521" s="18" t="n">
        <v>55</v>
      </c>
      <c r="H1521" s="18" t="n"/>
      <c r="I1521" s="18" t="n"/>
      <c r="J1521" s="18" t="n"/>
      <c r="K1521" s="19">
        <f>H1521+I1521+J1521</f>
        <v/>
      </c>
      <c r="L1521" s="19">
        <f>K1521-G1521</f>
        <v/>
      </c>
      <c r="M1521" s="20">
        <f>L1521*E1521</f>
        <v/>
      </c>
      <c r="N1521" s="20" t="n">
        <v>50</v>
      </c>
      <c r="O1521" s="20" t="n"/>
      <c r="P1521" s="20">
        <f>O1521-N1521</f>
        <v/>
      </c>
      <c r="Q1521" s="20">
        <f>P1521*E1521</f>
        <v/>
      </c>
      <c r="R1521" s="20" t="n"/>
    </row>
    <row r="1522" ht="20" customHeight="1" s="1">
      <c r="A1522" s="21" t="inlineStr">
        <is>
          <t>21691</t>
        </is>
      </c>
      <c r="B1522" s="22" t="inlineStr">
        <is>
          <t>SYNERGETIC</t>
        </is>
      </c>
      <c r="C1522" s="21" t="inlineStr">
        <is>
          <t>4623721671463</t>
        </is>
      </c>
      <c r="D1522" s="22" t="inlineStr">
        <is>
          <t>Syng sredstvo dlya mitya posudi s aromatom aloe 0,5L</t>
        </is>
      </c>
      <c r="E1522" s="23" t="n">
        <v>3.33</v>
      </c>
      <c r="F1522" s="23" t="n">
        <v>14</v>
      </c>
      <c r="G1522" s="23" t="n">
        <v>59</v>
      </c>
      <c r="H1522" s="23" t="n"/>
      <c r="I1522" s="23" t="n"/>
      <c r="J1522" s="23" t="n"/>
      <c r="K1522" s="19">
        <f>H1522+I1522+J1522</f>
        <v/>
      </c>
      <c r="L1522" s="19">
        <f>K1522-G1522</f>
        <v/>
      </c>
      <c r="M1522" s="20">
        <f>L1522*E1522</f>
        <v/>
      </c>
      <c r="N1522" s="20" t="n">
        <v>50</v>
      </c>
      <c r="O1522" s="20" t="n"/>
      <c r="P1522" s="20">
        <f>O1522-N1522</f>
        <v/>
      </c>
      <c r="Q1522" s="20">
        <f>P1522*E1522</f>
        <v/>
      </c>
      <c r="R1522" s="20" t="n"/>
    </row>
    <row r="1523" ht="20" customHeight="1" s="1">
      <c r="A1523" s="16" t="inlineStr">
        <is>
          <t>21692</t>
        </is>
      </c>
      <c r="B1523" s="17" t="inlineStr">
        <is>
          <t>SYNERGETIC</t>
        </is>
      </c>
      <c r="C1523" s="16" t="inlineStr">
        <is>
          <t>4607971453604</t>
        </is>
      </c>
      <c r="D1523" s="17" t="inlineStr">
        <is>
          <t>Syng qel-balz.posudi dets.iqrusek rozmarin I list.smord. 0,5L</t>
        </is>
      </c>
      <c r="E1523" s="18" t="n">
        <v>3.78</v>
      </c>
      <c r="F1523" s="18" t="n">
        <v>14</v>
      </c>
      <c r="G1523" s="18" t="n">
        <v>15</v>
      </c>
      <c r="H1523" s="18" t="n"/>
      <c r="I1523" s="18" t="n"/>
      <c r="J1523" s="18" t="n"/>
      <c r="K1523" s="19">
        <f>H1523+I1523+J1523</f>
        <v/>
      </c>
      <c r="L1523" s="19">
        <f>K1523-G1523</f>
        <v/>
      </c>
      <c r="M1523" s="20">
        <f>L1523*E1523</f>
        <v/>
      </c>
      <c r="N1523" s="20" t="n">
        <v>50</v>
      </c>
      <c r="O1523" s="20" t="n"/>
      <c r="P1523" s="20">
        <f>O1523-N1523</f>
        <v/>
      </c>
      <c r="Q1523" s="20">
        <f>P1523*E1523</f>
        <v/>
      </c>
      <c r="R1523" s="20" t="n"/>
    </row>
    <row r="1524" ht="20" customHeight="1" s="1">
      <c r="A1524" s="21" t="inlineStr">
        <is>
          <t>21701</t>
        </is>
      </c>
      <c r="B1524" s="22" t="inlineStr">
        <is>
          <t>SYNERGETIC</t>
        </is>
      </c>
      <c r="C1524" s="21" t="inlineStr">
        <is>
          <t>4607971453154</t>
        </is>
      </c>
      <c r="D1524" s="22" t="inlineStr">
        <is>
          <t>Syng qipoallerq.universal.srd.dlya kuxni mandarin lemon. 0,5L</t>
        </is>
      </c>
      <c r="E1524" s="23" t="n">
        <v>5.89</v>
      </c>
      <c r="F1524" s="23" t="n">
        <v>8</v>
      </c>
      <c r="G1524" s="23" t="n">
        <v>7</v>
      </c>
      <c r="H1524" s="23" t="n"/>
      <c r="I1524" s="23" t="n"/>
      <c r="J1524" s="23" t="n"/>
      <c r="K1524" s="19">
        <f>H1524+I1524+J1524</f>
        <v/>
      </c>
      <c r="L1524" s="19">
        <f>K1524-G1524</f>
        <v/>
      </c>
      <c r="M1524" s="20">
        <f>L1524*E1524</f>
        <v/>
      </c>
      <c r="N1524" s="20" t="n">
        <v>50</v>
      </c>
      <c r="O1524" s="20" t="n"/>
      <c r="P1524" s="20">
        <f>O1524-N1524</f>
        <v/>
      </c>
      <c r="Q1524" s="20">
        <f>P1524*E1524</f>
        <v/>
      </c>
      <c r="R1524" s="20" t="n"/>
    </row>
    <row r="1525" ht="20" customHeight="1" s="1">
      <c r="A1525" s="16" t="inlineStr">
        <is>
          <t>21702</t>
        </is>
      </c>
      <c r="B1525" s="17" t="inlineStr">
        <is>
          <t>SYNERGETIC</t>
        </is>
      </c>
      <c r="C1525" s="16" t="inlineStr">
        <is>
          <t>4613720439003</t>
        </is>
      </c>
      <c r="D1525" s="17" t="inlineStr">
        <is>
          <t>Syng sredstvo dlya udaleniya jira I nagara 0,5L</t>
        </is>
      </c>
      <c r="E1525" s="18" t="n">
        <v>6.7</v>
      </c>
      <c r="F1525" s="18" t="n">
        <v>8</v>
      </c>
      <c r="G1525" s="18" t="n">
        <v>25</v>
      </c>
      <c r="H1525" s="18" t="n"/>
      <c r="I1525" s="18" t="n"/>
      <c r="J1525" s="18" t="n"/>
      <c r="K1525" s="19">
        <f>H1525+I1525+J1525</f>
        <v/>
      </c>
      <c r="L1525" s="19">
        <f>K1525-G1525</f>
        <v/>
      </c>
      <c r="M1525" s="20">
        <f>L1525*E1525</f>
        <v/>
      </c>
      <c r="N1525" s="20" t="n">
        <v>50</v>
      </c>
      <c r="O1525" s="20" t="n"/>
      <c r="P1525" s="20">
        <f>O1525-N1525</f>
        <v/>
      </c>
      <c r="Q1525" s="20">
        <f>P1525*E1525</f>
        <v/>
      </c>
      <c r="R1525" s="20" t="n"/>
    </row>
    <row r="1526" ht="20" customHeight="1" s="1">
      <c r="A1526" s="21" t="inlineStr">
        <is>
          <t>21703</t>
        </is>
      </c>
      <c r="B1526" s="22" t="inlineStr">
        <is>
          <t>SYNERGETIC</t>
        </is>
      </c>
      <c r="C1526" s="21" t="inlineStr">
        <is>
          <t>4607971455677</t>
        </is>
      </c>
      <c r="D1526" s="22" t="inlineStr">
        <is>
          <t>Syng universal.udaleniya jira kuxonnix paverx. Antijir 0,5 L</t>
        </is>
      </c>
      <c r="E1526" s="23" t="n">
        <v>6.7</v>
      </c>
      <c r="F1526" s="23" t="n">
        <v>8</v>
      </c>
      <c r="G1526" s="23" t="n">
        <v>7</v>
      </c>
      <c r="H1526" s="23" t="n"/>
      <c r="I1526" s="23" t="n"/>
      <c r="J1526" s="23" t="n"/>
      <c r="K1526" s="19">
        <f>H1526+I1526+J1526</f>
        <v/>
      </c>
      <c r="L1526" s="19">
        <f>K1526-G1526</f>
        <v/>
      </c>
      <c r="M1526" s="20">
        <f>L1526*E1526</f>
        <v/>
      </c>
      <c r="N1526" s="20" t="n">
        <v>50</v>
      </c>
      <c r="O1526" s="20" t="n"/>
      <c r="P1526" s="20">
        <f>O1526-N1526</f>
        <v/>
      </c>
      <c r="Q1526" s="20">
        <f>P1526*E1526</f>
        <v/>
      </c>
      <c r="R1526" s="20" t="n"/>
    </row>
    <row r="1527" ht="20" customHeight="1" s="1">
      <c r="A1527" s="16" t="inlineStr">
        <is>
          <t>21704</t>
        </is>
      </c>
      <c r="B1527" s="17" t="inlineStr">
        <is>
          <t>SYNERGETIC</t>
        </is>
      </c>
      <c r="C1527" s="16" t="inlineStr">
        <is>
          <t>4613720438914</t>
        </is>
      </c>
      <c r="D1527" s="17" t="inlineStr">
        <is>
          <t>Syng sredstvo kislotnoe, biorazlaqaemoe mitya santexniki 0,5L</t>
        </is>
      </c>
      <c r="E1527" s="18" t="n">
        <v>6.65</v>
      </c>
      <c r="F1527" s="18" t="n">
        <v>8</v>
      </c>
      <c r="G1527" s="18" t="n">
        <v>19</v>
      </c>
      <c r="H1527" s="18" t="n"/>
      <c r="I1527" s="18" t="n"/>
      <c r="J1527" s="18" t="n"/>
      <c r="K1527" s="19" t="n"/>
      <c r="L1527" s="19" t="n"/>
      <c r="M1527" s="20" t="n"/>
      <c r="N1527" s="20" t="n">
        <v>50</v>
      </c>
      <c r="O1527" s="20" t="n"/>
      <c r="P1527" s="20">
        <f>O1527-N1527</f>
        <v/>
      </c>
      <c r="Q1527" s="20">
        <f>P1527*E1527</f>
        <v/>
      </c>
      <c r="R1527" s="20" t="n"/>
    </row>
    <row r="1528" ht="20" customHeight="1" s="1">
      <c r="A1528" s="21" t="inlineStr">
        <is>
          <t>21705</t>
        </is>
      </c>
      <c r="B1528" s="22" t="inlineStr">
        <is>
          <t>SYNERGETIC</t>
        </is>
      </c>
      <c r="C1528" s="21" t="inlineStr">
        <is>
          <t>4607971450542</t>
        </is>
      </c>
      <c r="D1528" s="22" t="inlineStr">
        <is>
          <t>Syng besfosfatnie tabletki dlya posudomoecnix mashin 55 eded</t>
        </is>
      </c>
      <c r="E1528" s="23" t="n">
        <v>25.02</v>
      </c>
      <c r="F1528" s="23" t="n">
        <v>8</v>
      </c>
      <c r="G1528" s="23" t="n">
        <v>10</v>
      </c>
      <c r="H1528" s="23" t="n"/>
      <c r="I1528" s="23" t="n"/>
      <c r="J1528" s="23" t="n"/>
      <c r="K1528" s="19" t="n"/>
      <c r="L1528" s="19" t="n"/>
      <c r="M1528" s="20" t="n"/>
      <c r="N1528" s="20" t="n">
        <v>50</v>
      </c>
      <c r="O1528" s="20" t="n"/>
      <c r="P1528" s="20">
        <f>O1528-N1528</f>
        <v/>
      </c>
      <c r="Q1528" s="20">
        <f>P1528*E1528</f>
        <v/>
      </c>
      <c r="R1528" s="20" t="n"/>
    </row>
    <row r="1529" ht="20" customHeight="1" s="1">
      <c r="A1529" s="16" t="inlineStr">
        <is>
          <t>21688</t>
        </is>
      </c>
      <c r="B1529" s="17" t="inlineStr">
        <is>
          <t>SYNERGETIC</t>
        </is>
      </c>
      <c r="C1529" s="16" t="inlineStr">
        <is>
          <t>4607971450535</t>
        </is>
      </c>
      <c r="D1529" s="17" t="inlineStr">
        <is>
          <t>Syng besfosfatnie tabletki dlya posudomoecnix mashin 25 eded</t>
        </is>
      </c>
      <c r="E1529" s="18" t="n">
        <v>13</v>
      </c>
      <c r="F1529" s="18" t="n">
        <v>12</v>
      </c>
      <c r="G1529" s="18" t="n">
        <v>24</v>
      </c>
      <c r="H1529" s="18" t="n"/>
      <c r="I1529" s="18" t="n"/>
      <c r="J1529" s="18" t="n"/>
      <c r="K1529" s="19" t="n"/>
      <c r="L1529" s="19" t="n"/>
      <c r="M1529" s="20" t="n"/>
      <c r="N1529" s="20" t="n">
        <v>50</v>
      </c>
      <c r="O1529" s="20" t="n"/>
      <c r="P1529" s="20">
        <f>O1529-N1529</f>
        <v/>
      </c>
      <c r="Q1529" s="20">
        <f>P1529*E1529</f>
        <v/>
      </c>
      <c r="R1529" s="20" t="n"/>
    </row>
    <row r="1530" ht="20" customHeight="1" s="1">
      <c r="A1530" s="21" t="inlineStr">
        <is>
          <t>21683</t>
        </is>
      </c>
      <c r="B1530" s="22" t="inlineStr">
        <is>
          <t>SYNERGETIC</t>
        </is>
      </c>
      <c r="C1530" s="21" t="inlineStr">
        <is>
          <t>4607971459316</t>
        </is>
      </c>
      <c r="D1530" s="22" t="inlineStr">
        <is>
          <t>Syng jidkoe milo maslo mindalya Body Therapy 250ml</t>
        </is>
      </c>
      <c r="E1530" s="23" t="n">
        <v>3.33</v>
      </c>
      <c r="F1530" s="23" t="n">
        <v>6</v>
      </c>
      <c r="G1530" s="23" t="n">
        <v>0</v>
      </c>
      <c r="H1530" s="23" t="n"/>
      <c r="I1530" s="23" t="n"/>
      <c r="J1530" s="23" t="n"/>
      <c r="K1530" s="19">
        <f>H1530+I1530+J1530</f>
        <v/>
      </c>
      <c r="L1530" s="19">
        <f>K1530-G1530</f>
        <v/>
      </c>
      <c r="M1530" s="20">
        <f>L1530*E1530</f>
        <v/>
      </c>
      <c r="N1530" s="20" t="n">
        <v>50</v>
      </c>
      <c r="O1530" s="20" t="n"/>
      <c r="P1530" s="20">
        <f>O1530-N1530</f>
        <v/>
      </c>
      <c r="Q1530" s="20">
        <f>P1530*E1530</f>
        <v/>
      </c>
      <c r="R1530" s="20" t="n"/>
    </row>
    <row r="1531" ht="20" customHeight="1" s="1">
      <c r="A1531" s="16" t="inlineStr">
        <is>
          <t>21684</t>
        </is>
      </c>
      <c r="B1531" s="17" t="inlineStr">
        <is>
          <t>SYNERGETIC</t>
        </is>
      </c>
      <c r="C1531" s="16" t="inlineStr">
        <is>
          <t>4607971459323</t>
        </is>
      </c>
      <c r="D1531" s="17" t="inlineStr">
        <is>
          <t>Syng jidkoe milo mangoviy mus Body Therapy 250ml</t>
        </is>
      </c>
      <c r="E1531" s="18" t="n">
        <v>3.33</v>
      </c>
      <c r="F1531" s="18" t="n">
        <v>6</v>
      </c>
      <c r="G1531" s="18" t="n">
        <v>24</v>
      </c>
      <c r="H1531" s="18" t="n"/>
      <c r="I1531" s="18" t="n"/>
      <c r="J1531" s="18" t="n"/>
      <c r="K1531" s="19" t="n"/>
      <c r="L1531" s="19" t="n"/>
      <c r="M1531" s="20" t="n"/>
      <c r="N1531" s="20" t="n">
        <v>50</v>
      </c>
      <c r="O1531" s="20" t="n"/>
      <c r="P1531" s="20">
        <f>O1531-N1531</f>
        <v/>
      </c>
      <c r="Q1531" s="20">
        <f>P1531*E1531</f>
        <v/>
      </c>
      <c r="R1531" s="20" t="n"/>
    </row>
    <row r="1532" ht="20" customHeight="1" s="1">
      <c r="A1532" s="21" t="inlineStr">
        <is>
          <t>21685</t>
        </is>
      </c>
      <c r="B1532" s="22" t="inlineStr">
        <is>
          <t>SYNERGETIC</t>
        </is>
      </c>
      <c r="C1532" s="21" t="inlineStr">
        <is>
          <t>4607971459286</t>
        </is>
      </c>
      <c r="D1532" s="22" t="inlineStr">
        <is>
          <t>Syng jidkoe milo myatnaya svejest Body Therapy 250ml</t>
        </is>
      </c>
      <c r="E1532" s="23" t="n">
        <v>3.33</v>
      </c>
      <c r="F1532" s="23" t="n">
        <v>6</v>
      </c>
      <c r="G1532" s="23" t="n">
        <v>0</v>
      </c>
      <c r="H1532" s="23" t="n"/>
      <c r="I1532" s="23" t="n"/>
      <c r="J1532" s="23" t="n"/>
      <c r="K1532" s="19">
        <f>H1532+I1532+J1532</f>
        <v/>
      </c>
      <c r="L1532" s="19">
        <f>K1532-G1532</f>
        <v/>
      </c>
      <c r="M1532" s="20">
        <f>L1532*E1532</f>
        <v/>
      </c>
      <c r="N1532" s="20" t="n">
        <v>50</v>
      </c>
      <c r="O1532" s="20" t="n"/>
      <c r="P1532" s="20">
        <f>O1532-N1532</f>
        <v/>
      </c>
      <c r="Q1532" s="20">
        <f>P1532*E1532</f>
        <v/>
      </c>
      <c r="R1532" s="20" t="n"/>
    </row>
    <row r="1533" ht="20" customHeight="1" s="1">
      <c r="A1533" s="16" t="inlineStr">
        <is>
          <t>21672</t>
        </is>
      </c>
      <c r="B1533" s="17" t="inlineStr">
        <is>
          <t>SYNERGETIC</t>
        </is>
      </c>
      <c r="C1533" s="16" t="inlineStr">
        <is>
          <t>4623721966637</t>
        </is>
      </c>
      <c r="D1533" s="17" t="inlineStr">
        <is>
          <t>Syng sredstvo moyushee dlya stirki detskoqo belya 1L</t>
        </is>
      </c>
      <c r="E1533" s="18" t="n">
        <v>8.869999999999999</v>
      </c>
      <c r="F1533" s="18" t="n">
        <v>8</v>
      </c>
      <c r="G1533" s="18" t="n">
        <v>12</v>
      </c>
      <c r="H1533" s="18" t="n"/>
      <c r="I1533" s="18" t="n"/>
      <c r="J1533" s="18" t="n"/>
      <c r="K1533" s="19">
        <f>H1533+I1533+J1533</f>
        <v/>
      </c>
      <c r="L1533" s="19">
        <f>K1533-G1533</f>
        <v/>
      </c>
      <c r="M1533" s="20">
        <f>L1533*E1533</f>
        <v/>
      </c>
      <c r="N1533" s="20" t="n">
        <v>50</v>
      </c>
      <c r="O1533" s="20" t="n"/>
      <c r="P1533" s="20">
        <f>O1533-N1533</f>
        <v/>
      </c>
      <c r="Q1533" s="20">
        <f>P1533*E1533</f>
        <v/>
      </c>
      <c r="R1533" s="20" t="n"/>
    </row>
    <row r="1534" ht="20" customHeight="1" s="1">
      <c r="A1534" s="21" t="inlineStr">
        <is>
          <t>21673</t>
        </is>
      </c>
      <c r="B1534" s="22" t="inlineStr">
        <is>
          <t>SYNERGETIC</t>
        </is>
      </c>
      <c r="C1534" s="21" t="inlineStr">
        <is>
          <t>4623722258250</t>
        </is>
      </c>
      <c r="D1534" s="22" t="inlineStr">
        <is>
          <t>Syng kondis.-opolask.destkoqo belya nejnoe prikosnovenie 1L</t>
        </is>
      </c>
      <c r="E1534" s="23" t="n">
        <v>5.43</v>
      </c>
      <c r="F1534" s="23" t="n">
        <v>8</v>
      </c>
      <c r="G1534" s="23" t="n">
        <v>17</v>
      </c>
      <c r="H1534" s="23" t="n"/>
      <c r="I1534" s="23" t="n"/>
      <c r="J1534" s="23" t="n"/>
      <c r="K1534" s="19">
        <f>H1534+I1534+J1534</f>
        <v/>
      </c>
      <c r="L1534" s="19">
        <f>K1534-G1534</f>
        <v/>
      </c>
      <c r="M1534" s="20">
        <f>L1534*E1534</f>
        <v/>
      </c>
      <c r="N1534" s="20" t="n">
        <v>50</v>
      </c>
      <c r="O1534" s="20" t="n"/>
      <c r="P1534" s="20">
        <f>O1534-N1534</f>
        <v/>
      </c>
      <c r="Q1534" s="20">
        <f>P1534*E1534</f>
        <v/>
      </c>
      <c r="R1534" s="20" t="n"/>
    </row>
    <row r="1535" ht="20" customHeight="1" s="1">
      <c r="A1535" s="16" t="inlineStr">
        <is>
          <t>21674</t>
        </is>
      </c>
      <c r="B1535" s="17" t="inlineStr">
        <is>
          <t>SYNERGETIC</t>
        </is>
      </c>
      <c r="C1535" s="16" t="inlineStr">
        <is>
          <t>4623722258274</t>
        </is>
      </c>
      <c r="D1535" s="17" t="inlineStr">
        <is>
          <t>Syng dlya mitya detskoy posudi,sosok,butilocek I iqrusek 0,5L</t>
        </is>
      </c>
      <c r="E1535" s="18" t="n">
        <v>3.33</v>
      </c>
      <c r="F1535" s="18" t="n">
        <v>14</v>
      </c>
      <c r="G1535" s="18" t="n">
        <v>38</v>
      </c>
      <c r="H1535" s="18" t="n"/>
      <c r="I1535" s="18" t="n"/>
      <c r="J1535" s="18" t="n"/>
      <c r="K1535" s="19">
        <f>H1535+I1535+J1535</f>
        <v/>
      </c>
      <c r="L1535" s="19">
        <f>K1535-G1535</f>
        <v/>
      </c>
      <c r="M1535" s="20">
        <f>L1535*E1535</f>
        <v/>
      </c>
      <c r="N1535" s="20" t="n">
        <v>50</v>
      </c>
      <c r="O1535" s="20" t="n"/>
      <c r="P1535" s="20">
        <f>O1535-N1535</f>
        <v/>
      </c>
      <c r="Q1535" s="20">
        <f>P1535*E1535</f>
        <v/>
      </c>
      <c r="R1535" s="20" t="n"/>
    </row>
    <row r="1536" ht="20" customHeight="1" s="1">
      <c r="A1536" s="21" t="inlineStr">
        <is>
          <t>21676</t>
        </is>
      </c>
      <c r="B1536" s="22" t="inlineStr">
        <is>
          <t>SYNERGETIC</t>
        </is>
      </c>
      <c r="C1536" s="21" t="inlineStr">
        <is>
          <t>4607971455950</t>
        </is>
      </c>
      <c r="D1536" s="22" t="inlineStr">
        <is>
          <t>Syng natural.qipoallerq.qel dlya kupaniya mladencev 0+ 250ml</t>
        </is>
      </c>
      <c r="E1536" s="23" t="n">
        <v>4.22</v>
      </c>
      <c r="F1536" s="23" t="n">
        <v>6</v>
      </c>
      <c r="G1536" s="23" t="n">
        <v>14</v>
      </c>
      <c r="H1536" s="23" t="n"/>
      <c r="I1536" s="23" t="n"/>
      <c r="J1536" s="23" t="n"/>
      <c r="K1536" s="19" t="n"/>
      <c r="L1536" s="19" t="n"/>
      <c r="M1536" s="20" t="n"/>
      <c r="N1536" s="20" t="n">
        <v>50</v>
      </c>
      <c r="O1536" s="20" t="n"/>
      <c r="P1536" s="20">
        <f>O1536-N1536</f>
        <v/>
      </c>
      <c r="Q1536" s="20">
        <f>P1536*E1536</f>
        <v/>
      </c>
      <c r="R1536" s="20" t="n"/>
    </row>
    <row r="1537" ht="20" customHeight="1" s="1">
      <c r="A1537" s="16" t="inlineStr">
        <is>
          <t>21675</t>
        </is>
      </c>
      <c r="B1537" s="17" t="inlineStr">
        <is>
          <t>SYNERGETIC</t>
        </is>
      </c>
      <c r="C1537" s="16" t="inlineStr">
        <is>
          <t>4607971455974</t>
        </is>
      </c>
      <c r="D1537" s="17" t="inlineStr">
        <is>
          <t>Syng nat.qipoallerq.detsk.samp.-qel volos-tela 0+ bezsloz 250ml</t>
        </is>
      </c>
      <c r="E1537" s="18" t="n">
        <v>4.22</v>
      </c>
      <c r="F1537" s="18" t="n">
        <v>6</v>
      </c>
      <c r="G1537" s="18" t="n">
        <v>11</v>
      </c>
      <c r="H1537" s="18" t="n"/>
      <c r="I1537" s="18" t="n"/>
      <c r="J1537" s="18" t="n"/>
      <c r="K1537" s="19" t="n"/>
      <c r="L1537" s="19" t="n"/>
      <c r="M1537" s="20" t="n"/>
      <c r="N1537" s="20" t="n">
        <v>50</v>
      </c>
      <c r="O1537" s="20" t="n"/>
      <c r="P1537" s="20">
        <f>O1537-N1537</f>
        <v/>
      </c>
      <c r="Q1537" s="20">
        <f>P1537*E1537</f>
        <v/>
      </c>
      <c r="R1537" s="20" t="n"/>
    </row>
    <row r="1538" ht="20" customHeight="1" s="1">
      <c r="A1538" s="21" t="inlineStr">
        <is>
          <t>21677</t>
        </is>
      </c>
      <c r="B1538" s="22" t="inlineStr">
        <is>
          <t>SYNERGETIC</t>
        </is>
      </c>
      <c r="C1538" s="21" t="inlineStr">
        <is>
          <t>4607971455981</t>
        </is>
      </c>
      <c r="D1538" s="22" t="inlineStr">
        <is>
          <t>Syng naturalniy qipoallerqenniy detskaya jidkoe milo 0+ 250ml</t>
        </is>
      </c>
      <c r="E1538" s="23" t="n">
        <v>4.22</v>
      </c>
      <c r="F1538" s="23" t="n">
        <v>6</v>
      </c>
      <c r="G1538" s="23" t="n">
        <v>6</v>
      </c>
      <c r="H1538" s="23" t="n"/>
      <c r="I1538" s="23" t="n"/>
      <c r="J1538" s="23" t="n"/>
      <c r="K1538" s="19" t="n"/>
      <c r="L1538" s="19" t="n"/>
      <c r="M1538" s="20" t="n"/>
      <c r="N1538" s="20" t="n">
        <v>50</v>
      </c>
      <c r="O1538" s="20" t="n"/>
      <c r="P1538" s="20">
        <f>O1538-N1538</f>
        <v/>
      </c>
      <c r="Q1538" s="20">
        <f>P1538*E1538</f>
        <v/>
      </c>
      <c r="R1538" s="20" t="n"/>
    </row>
    <row r="1539" ht="20" customHeight="1" s="1">
      <c r="A1539" s="16" t="inlineStr">
        <is>
          <t>21678</t>
        </is>
      </c>
      <c r="B1539" s="17" t="inlineStr">
        <is>
          <t>SYNERGETIC</t>
        </is>
      </c>
      <c r="C1539" s="16" t="inlineStr">
        <is>
          <t>4607971455967</t>
        </is>
      </c>
      <c r="D1539" s="17" t="inlineStr">
        <is>
          <t>Syng natural.qipoallerq. detskaya penka dlya kupaniya 0+ 150ml</t>
        </is>
      </c>
      <c r="E1539" s="18" t="n">
        <v>4.65</v>
      </c>
      <c r="F1539" s="18" t="n">
        <v>6</v>
      </c>
      <c r="G1539" s="18" t="n">
        <v>15</v>
      </c>
      <c r="H1539" s="18" t="n"/>
      <c r="I1539" s="18" t="n"/>
      <c r="J1539" s="18" t="n"/>
      <c r="K1539" s="19">
        <f>H1539+I1539+J1539</f>
        <v/>
      </c>
      <c r="L1539" s="19">
        <f>K1539-G1539</f>
        <v/>
      </c>
      <c r="M1539" s="20">
        <f>L1539*E1539</f>
        <v/>
      </c>
      <c r="N1539" s="20" t="n">
        <v>50</v>
      </c>
      <c r="O1539" s="20" t="n"/>
      <c r="P1539" s="20">
        <f>O1539-N1539</f>
        <v/>
      </c>
      <c r="Q1539" s="20">
        <f>P1539*E1539</f>
        <v/>
      </c>
      <c r="R1539" s="20" t="n"/>
    </row>
    <row r="1540" ht="20" customHeight="1" s="1">
      <c r="A1540" s="21" t="inlineStr">
        <is>
          <t>21679</t>
        </is>
      </c>
      <c r="B1540" s="22" t="inlineStr">
        <is>
          <t>SYNERGETIC</t>
        </is>
      </c>
      <c r="C1540" s="21" t="inlineStr">
        <is>
          <t>4607971450801</t>
        </is>
      </c>
      <c r="D1540" s="22" t="inlineStr">
        <is>
          <t>Syng detskaya zubnaya pasta lipa I romaska ot 0 do 3 let 50qr</t>
        </is>
      </c>
      <c r="E1540" s="23" t="n">
        <v>4.15</v>
      </c>
      <c r="F1540" s="23" t="n">
        <v>12</v>
      </c>
      <c r="G1540" s="23" t="n">
        <v>48</v>
      </c>
      <c r="H1540" s="23" t="n"/>
      <c r="I1540" s="23" t="n"/>
      <c r="J1540" s="23" t="n"/>
      <c r="K1540" s="19">
        <f>H1540+I1540+J1540</f>
        <v/>
      </c>
      <c r="L1540" s="19">
        <f>K1540-G1540</f>
        <v/>
      </c>
      <c r="M1540" s="20">
        <f>L1540*E1540</f>
        <v/>
      </c>
      <c r="N1540" s="20" t="n">
        <v>50</v>
      </c>
      <c r="O1540" s="20" t="n"/>
      <c r="P1540" s="20">
        <f>O1540-N1540</f>
        <v/>
      </c>
      <c r="Q1540" s="20">
        <f>P1540*E1540</f>
        <v/>
      </c>
      <c r="R1540" s="20" t="n"/>
    </row>
    <row r="1541" ht="20" customHeight="1" s="1">
      <c r="A1541" s="16" t="inlineStr">
        <is>
          <t>21671</t>
        </is>
      </c>
      <c r="B1541" s="17" t="inlineStr">
        <is>
          <t>SYNERGETIC</t>
        </is>
      </c>
      <c r="C1541" s="16" t="inlineStr">
        <is>
          <t>4607971450832</t>
        </is>
      </c>
      <c r="D1541" s="17" t="inlineStr">
        <is>
          <t>Syng detsk.zubny.pasta klubnika banan ot 3do6 let (krasnaya) 50qr</t>
        </is>
      </c>
      <c r="E1541" s="18" t="n">
        <v>4.15</v>
      </c>
      <c r="F1541" s="18" t="n">
        <v>12</v>
      </c>
      <c r="G1541" s="18" t="n">
        <v>18</v>
      </c>
      <c r="H1541" s="18" t="n"/>
      <c r="I1541" s="18" t="n"/>
      <c r="J1541" s="18" t="n"/>
      <c r="K1541" s="19">
        <f>H1541+I1541+J1541</f>
        <v/>
      </c>
      <c r="L1541" s="19">
        <f>K1541-G1541</f>
        <v/>
      </c>
      <c r="M1541" s="20">
        <f>L1541*E1541</f>
        <v/>
      </c>
      <c r="N1541" s="20" t="n">
        <v>50</v>
      </c>
      <c r="O1541" s="20" t="n"/>
      <c r="P1541" s="20">
        <f>O1541-N1541</f>
        <v/>
      </c>
      <c r="Q1541" s="20">
        <f>P1541*E1541</f>
        <v/>
      </c>
      <c r="R1541" s="20" t="n"/>
    </row>
    <row r="1542" ht="20" customHeight="1" s="1">
      <c r="A1542" s="21" t="inlineStr">
        <is>
          <t>21680</t>
        </is>
      </c>
      <c r="B1542" s="22" t="inlineStr">
        <is>
          <t>SYNERGETIC</t>
        </is>
      </c>
      <c r="C1542" s="21" t="inlineStr">
        <is>
          <t>4607971450818</t>
        </is>
      </c>
      <c r="D1542" s="22" t="inlineStr">
        <is>
          <t>Syng detsk.zubny.pasta klubnika I banan ot 3do6 let(jeltaya) 50qr</t>
        </is>
      </c>
      <c r="E1542" s="23" t="n">
        <v>4.15</v>
      </c>
      <c r="F1542" s="23" t="n">
        <v>12</v>
      </c>
      <c r="G1542" s="23" t="n">
        <v>13</v>
      </c>
      <c r="H1542" s="23" t="n"/>
      <c r="I1542" s="23" t="n"/>
      <c r="J1542" s="23" t="n"/>
      <c r="K1542" s="19">
        <f>H1542+I1542+J1542</f>
        <v/>
      </c>
      <c r="L1542" s="19">
        <f>K1542-G1542</f>
        <v/>
      </c>
      <c r="M1542" s="20">
        <f>L1542*E1542</f>
        <v/>
      </c>
      <c r="N1542" s="20" t="n">
        <v>50</v>
      </c>
      <c r="O1542" s="20" t="n"/>
      <c r="P1542" s="20">
        <f>O1542-N1542</f>
        <v/>
      </c>
      <c r="Q1542" s="20">
        <f>P1542*E1542</f>
        <v/>
      </c>
      <c r="R1542" s="20" t="n"/>
    </row>
    <row r="1543" ht="20" customHeight="1" s="1">
      <c r="A1543" s="16" t="inlineStr">
        <is>
          <t>22189</t>
        </is>
      </c>
      <c r="B1543" s="17" t="inlineStr">
        <is>
          <t>SYNERGETIC</t>
        </is>
      </c>
      <c r="C1543" s="16" t="inlineStr">
        <is>
          <t>4607971459620</t>
        </is>
      </c>
      <c r="D1543" s="17" t="inlineStr">
        <is>
          <t>Syng Stiralniy Porosok qipoallergenniy 1,5 kq</t>
        </is>
      </c>
      <c r="E1543" s="18" t="n">
        <v>8.800000000000001</v>
      </c>
      <c r="F1543" s="18" t="n">
        <v>6</v>
      </c>
      <c r="G1543" s="18" t="n">
        <v>69</v>
      </c>
      <c r="H1543" s="18" t="n"/>
      <c r="I1543" s="18" t="n"/>
      <c r="J1543" s="18" t="n"/>
      <c r="K1543" s="19">
        <f>H1543+I1543+J1543</f>
        <v/>
      </c>
      <c r="L1543" s="19">
        <f>K1543-G1543</f>
        <v/>
      </c>
      <c r="M1543" s="20">
        <f>L1543*E1543</f>
        <v/>
      </c>
      <c r="N1543" s="20" t="n">
        <v>50</v>
      </c>
      <c r="O1543" s="20" t="n"/>
      <c r="P1543" s="20">
        <f>O1543-N1543</f>
        <v/>
      </c>
      <c r="Q1543" s="20">
        <f>P1543*E1543</f>
        <v/>
      </c>
      <c r="R1543" s="20" t="n"/>
    </row>
    <row r="1544" ht="20" customHeight="1" s="1">
      <c r="A1544" s="21" t="inlineStr">
        <is>
          <t>22190</t>
        </is>
      </c>
      <c r="B1544" s="22" t="inlineStr">
        <is>
          <t>SYNERGETIC</t>
        </is>
      </c>
      <c r="C1544" s="21" t="inlineStr">
        <is>
          <t>4607971459637</t>
        </is>
      </c>
      <c r="D1544" s="22" t="inlineStr">
        <is>
          <t>Syng Stiralniy Porosok qipoallergenniy 3 kq</t>
        </is>
      </c>
      <c r="E1544" s="23" t="n">
        <v>15.9</v>
      </c>
      <c r="F1544" s="23" t="n">
        <v>4</v>
      </c>
      <c r="G1544" s="23" t="n">
        <v>65</v>
      </c>
      <c r="H1544" s="23" t="n"/>
      <c r="I1544" s="23" t="n"/>
      <c r="J1544" s="23" t="n"/>
      <c r="K1544" s="19">
        <f>H1544+I1544+J1544</f>
        <v/>
      </c>
      <c r="L1544" s="19">
        <f>K1544-G1544</f>
        <v/>
      </c>
      <c r="M1544" s="20">
        <f>L1544*E1544</f>
        <v/>
      </c>
      <c r="N1544" s="20" t="n">
        <v>50</v>
      </c>
      <c r="O1544" s="20" t="n"/>
      <c r="P1544" s="20">
        <f>O1544-N1544</f>
        <v/>
      </c>
      <c r="Q1544" s="20">
        <f>P1544*E1544</f>
        <v/>
      </c>
      <c r="R1544" s="20" t="n"/>
    </row>
    <row r="1545" ht="20" customHeight="1" s="1">
      <c r="A1545" s="16" t="inlineStr">
        <is>
          <t>21809</t>
        </is>
      </c>
      <c r="B1545" s="17" t="inlineStr">
        <is>
          <t>Sinoz Kozmetik</t>
        </is>
      </c>
      <c r="C1545" s="16" t="inlineStr">
        <is>
          <t>8682974924579</t>
        </is>
      </c>
      <c r="D1545" s="17" t="inlineStr">
        <is>
          <t>The Bath Factory Gold Aura Dus Geli 400ml</t>
        </is>
      </c>
      <c r="E1545" s="18" t="n">
        <v>6.95</v>
      </c>
      <c r="F1545" s="18" t="n">
        <v>12</v>
      </c>
      <c r="G1545" s="18" t="n">
        <v>64</v>
      </c>
      <c r="H1545" s="18" t="n">
        <v>64</v>
      </c>
      <c r="I1545" s="18" t="n"/>
      <c r="J1545" s="18" t="n"/>
      <c r="K1545" s="19">
        <f>H1545+I1545+J1545</f>
        <v/>
      </c>
      <c r="L1545" s="19">
        <f>K1545-G1545</f>
        <v/>
      </c>
      <c r="M1545" s="20">
        <f>L1545*E1545</f>
        <v/>
      </c>
      <c r="N1545" s="20" t="n">
        <v>50</v>
      </c>
      <c r="O1545" s="20" t="n"/>
      <c r="P1545" s="20">
        <f>O1545-N1545</f>
        <v/>
      </c>
      <c r="Q1545" s="20">
        <f>P1545*E1545</f>
        <v/>
      </c>
      <c r="R1545" s="20" t="n"/>
    </row>
    <row r="1546" ht="20" customHeight="1" s="1">
      <c r="A1546" s="21" t="inlineStr">
        <is>
          <t>21813</t>
        </is>
      </c>
      <c r="B1546" s="22" t="inlineStr">
        <is>
          <t>Sinoz Kozmetik</t>
        </is>
      </c>
      <c r="C1546" s="21" t="inlineStr">
        <is>
          <t>8682974924142</t>
        </is>
      </c>
      <c r="D1546" s="22" t="inlineStr">
        <is>
          <t>The Bath Factory Endless Ocean Dus Geli 400ml</t>
        </is>
      </c>
      <c r="E1546" s="23" t="n">
        <v>6.95</v>
      </c>
      <c r="F1546" s="23" t="n">
        <v>12</v>
      </c>
      <c r="G1546" s="23" t="n">
        <v>75</v>
      </c>
      <c r="H1546" s="23" t="n">
        <v>75</v>
      </c>
      <c r="I1546" s="23" t="n"/>
      <c r="J1546" s="23" t="n"/>
      <c r="K1546" s="19">
        <f>H1546+I1546+J1546</f>
        <v/>
      </c>
      <c r="L1546" s="19">
        <f>K1546-G1546</f>
        <v/>
      </c>
      <c r="M1546" s="20">
        <f>L1546*E1546</f>
        <v/>
      </c>
      <c r="N1546" s="20" t="n">
        <v>50</v>
      </c>
      <c r="O1546" s="20" t="n"/>
      <c r="P1546" s="20">
        <f>O1546-N1546</f>
        <v/>
      </c>
      <c r="Q1546" s="20">
        <f>P1546*E1546</f>
        <v/>
      </c>
      <c r="R1546" s="20" t="n"/>
    </row>
    <row r="1547" ht="20" customHeight="1" s="1">
      <c r="A1547" s="16" t="inlineStr">
        <is>
          <t>21815</t>
        </is>
      </c>
      <c r="B1547" s="17" t="inlineStr">
        <is>
          <t>Sinoz Kozmetik</t>
        </is>
      </c>
      <c r="C1547" s="16" t="inlineStr">
        <is>
          <t>8682974924104</t>
        </is>
      </c>
      <c r="D1547" s="17" t="inlineStr">
        <is>
          <t>The Bath Factory Sweet Vanilla Dus Geli 400ml</t>
        </is>
      </c>
      <c r="E1547" s="18" t="n">
        <v>6.95</v>
      </c>
      <c r="F1547" s="18" t="n">
        <v>12</v>
      </c>
      <c r="G1547" s="18" t="n">
        <v>47</v>
      </c>
      <c r="H1547" s="18" t="n">
        <v>47</v>
      </c>
      <c r="I1547" s="18" t="n"/>
      <c r="J1547" s="18" t="n"/>
      <c r="K1547" s="19">
        <f>H1547+I1547+J1547</f>
        <v/>
      </c>
      <c r="L1547" s="19">
        <f>K1547-G1547</f>
        <v/>
      </c>
      <c r="M1547" s="20">
        <f>L1547*E1547</f>
        <v/>
      </c>
      <c r="N1547" s="20" t="n">
        <v>50</v>
      </c>
      <c r="O1547" s="20" t="n"/>
      <c r="P1547" s="20">
        <f>O1547-N1547</f>
        <v/>
      </c>
      <c r="Q1547" s="20">
        <f>P1547*E1547</f>
        <v/>
      </c>
      <c r="R1547" s="20" t="n"/>
    </row>
    <row r="1548" ht="20" customHeight="1" s="1">
      <c r="A1548" s="21" t="inlineStr">
        <is>
          <t>21811</t>
        </is>
      </c>
      <c r="B1548" s="22" t="inlineStr">
        <is>
          <t>Sinoz Kozmetik</t>
        </is>
      </c>
      <c r="C1548" s="21" t="inlineStr">
        <is>
          <t>8682974924111</t>
        </is>
      </c>
      <c r="D1548" s="22" t="inlineStr">
        <is>
          <t>The Bath Factory Seville Orange Dus Geli 400ml</t>
        </is>
      </c>
      <c r="E1548" s="23" t="n">
        <v>6.95</v>
      </c>
      <c r="F1548" s="23" t="n">
        <v>12</v>
      </c>
      <c r="G1548" s="23" t="n">
        <v>50</v>
      </c>
      <c r="H1548" s="23" t="n">
        <v>50</v>
      </c>
      <c r="I1548" s="23" t="n"/>
      <c r="J1548" s="23" t="n"/>
      <c r="K1548" s="19">
        <f>H1548+I1548+J1548</f>
        <v/>
      </c>
      <c r="L1548" s="19">
        <f>K1548-G1548</f>
        <v/>
      </c>
      <c r="M1548" s="20">
        <f>L1548*E1548</f>
        <v/>
      </c>
      <c r="N1548" s="20" t="n">
        <v>50</v>
      </c>
      <c r="O1548" s="20" t="n"/>
      <c r="P1548" s="20">
        <f>O1548-N1548</f>
        <v/>
      </c>
      <c r="Q1548" s="20">
        <f>P1548*E1548</f>
        <v/>
      </c>
      <c r="R1548" s="20" t="n"/>
    </row>
    <row r="1549" ht="20" customHeight="1" s="1">
      <c r="A1549" s="16" t="inlineStr">
        <is>
          <t>21810</t>
        </is>
      </c>
      <c r="B1549" s="17" t="inlineStr">
        <is>
          <t>Sinoz Kozmetik</t>
        </is>
      </c>
      <c r="C1549" s="16" t="inlineStr">
        <is>
          <t>8682974924098</t>
        </is>
      </c>
      <c r="D1549" s="17" t="inlineStr">
        <is>
          <t>The Bath Factory Hammam Ritual Dus Geli 400ml</t>
        </is>
      </c>
      <c r="E1549" s="18" t="n">
        <v>6.95</v>
      </c>
      <c r="F1549" s="18" t="n">
        <v>12</v>
      </c>
      <c r="G1549" s="18" t="n">
        <v>64</v>
      </c>
      <c r="H1549" s="18" t="n">
        <v>64</v>
      </c>
      <c r="I1549" s="18" t="n"/>
      <c r="J1549" s="18" t="n"/>
      <c r="K1549" s="19">
        <f>H1549+I1549+J1549</f>
        <v/>
      </c>
      <c r="L1549" s="19">
        <f>K1549-G1549</f>
        <v/>
      </c>
      <c r="M1549" s="20">
        <f>L1549*E1549</f>
        <v/>
      </c>
      <c r="N1549" s="20" t="n">
        <v>50</v>
      </c>
      <c r="O1549" s="20" t="n"/>
      <c r="P1549" s="20">
        <f>O1549-N1549</f>
        <v/>
      </c>
      <c r="Q1549" s="20">
        <f>P1549*E1549</f>
        <v/>
      </c>
      <c r="R1549" s="20" t="n"/>
    </row>
    <row r="1550" ht="20" customHeight="1" s="1">
      <c r="A1550" s="21" t="inlineStr">
        <is>
          <t>21814</t>
        </is>
      </c>
      <c r="B1550" s="22" t="inlineStr">
        <is>
          <t>Sinoz Kozmetik</t>
        </is>
      </c>
      <c r="C1550" s="21" t="inlineStr">
        <is>
          <t>8682974924159</t>
        </is>
      </c>
      <c r="D1550" s="22" t="inlineStr">
        <is>
          <t>The Bath Factory Strawberry Passion Dus Geli 400ml</t>
        </is>
      </c>
      <c r="E1550" s="23" t="n">
        <v>6.95</v>
      </c>
      <c r="F1550" s="23" t="n">
        <v>12</v>
      </c>
      <c r="G1550" s="23" t="n">
        <v>80</v>
      </c>
      <c r="H1550" s="23" t="n">
        <v>80</v>
      </c>
      <c r="I1550" s="23" t="n"/>
      <c r="J1550" s="23" t="n"/>
      <c r="K1550" s="19">
        <f>H1550+I1550+J1550</f>
        <v/>
      </c>
      <c r="L1550" s="19">
        <f>K1550-G1550</f>
        <v/>
      </c>
      <c r="M1550" s="20">
        <f>L1550*E1550</f>
        <v/>
      </c>
      <c r="N1550" s="20" t="n">
        <v>50</v>
      </c>
      <c r="O1550" s="20" t="n"/>
      <c r="P1550" s="20">
        <f>O1550-N1550</f>
        <v/>
      </c>
      <c r="Q1550" s="20">
        <f>P1550*E1550</f>
        <v/>
      </c>
      <c r="R1550" s="20" t="n"/>
    </row>
    <row r="1551" ht="20" customHeight="1" s="1">
      <c r="A1551" s="16" t="inlineStr">
        <is>
          <t>21816</t>
        </is>
      </c>
      <c r="B1551" s="17" t="inlineStr">
        <is>
          <t>Sinoz Kozmetik</t>
        </is>
      </c>
      <c r="C1551" s="16" t="inlineStr">
        <is>
          <t>8682974924432</t>
        </is>
      </c>
      <c r="D1551" s="17" t="inlineStr">
        <is>
          <t>The Bath Factory Banana Split Dus Geli 400ml</t>
        </is>
      </c>
      <c r="E1551" s="18" t="n">
        <v>6.95</v>
      </c>
      <c r="F1551" s="18" t="n">
        <v>12</v>
      </c>
      <c r="G1551" s="18" t="n">
        <v>130</v>
      </c>
      <c r="H1551" s="18" t="n">
        <v>130</v>
      </c>
      <c r="I1551" s="18" t="n"/>
      <c r="J1551" s="18" t="n"/>
      <c r="K1551" s="19">
        <f>H1551+I1551+J1551</f>
        <v/>
      </c>
      <c r="L1551" s="19">
        <f>K1551-G1551</f>
        <v/>
      </c>
      <c r="M1551" s="20">
        <f>L1551*E1551</f>
        <v/>
      </c>
      <c r="N1551" s="20" t="n">
        <v>50</v>
      </c>
      <c r="O1551" s="20" t="n"/>
      <c r="P1551" s="20">
        <f>O1551-N1551</f>
        <v/>
      </c>
      <c r="Q1551" s="20">
        <f>P1551*E1551</f>
        <v/>
      </c>
      <c r="R1551" s="20" t="n"/>
    </row>
    <row r="1552" ht="20" customHeight="1" s="1">
      <c r="A1552" s="21" t="inlineStr">
        <is>
          <t>21812</t>
        </is>
      </c>
      <c r="B1552" s="22" t="inlineStr">
        <is>
          <t>Sinoz Kozmetik</t>
        </is>
      </c>
      <c r="C1552" s="21" t="inlineStr">
        <is>
          <t>8682974924135</t>
        </is>
      </c>
      <c r="D1552" s="22" t="inlineStr">
        <is>
          <t>The Bath Factory Olive Garden Dus Geli 400ml</t>
        </is>
      </c>
      <c r="E1552" s="23" t="n">
        <v>6.95</v>
      </c>
      <c r="F1552" s="23" t="n">
        <v>12</v>
      </c>
      <c r="G1552" s="23" t="n">
        <v>49</v>
      </c>
      <c r="H1552" s="23" t="n">
        <v>49</v>
      </c>
      <c r="I1552" s="23" t="n"/>
      <c r="J1552" s="23" t="n"/>
      <c r="K1552" s="19">
        <f>H1552+I1552+J1552</f>
        <v/>
      </c>
      <c r="L1552" s="19">
        <f>K1552-G1552</f>
        <v/>
      </c>
      <c r="M1552" s="20">
        <f>L1552*E1552</f>
        <v/>
      </c>
      <c r="N1552" s="20" t="n">
        <v>50</v>
      </c>
      <c r="O1552" s="20" t="n"/>
      <c r="P1552" s="20">
        <f>O1552-N1552</f>
        <v/>
      </c>
      <c r="Q1552" s="20">
        <f>P1552*E1552</f>
        <v/>
      </c>
      <c r="R1552" s="20" t="n"/>
    </row>
    <row r="1553" ht="20" customHeight="1" s="1">
      <c r="A1553" s="16" t="inlineStr">
        <is>
          <t>22291</t>
        </is>
      </c>
      <c r="B1553" s="17" t="inlineStr">
        <is>
          <t>Sinoz Kozmetik</t>
        </is>
      </c>
      <c r="C1553" s="16" t="inlineStr">
        <is>
          <t>8682974925682</t>
        </is>
      </c>
      <c r="D1553" s="17" t="inlineStr">
        <is>
          <t>The Bath Factory Liberty Dus Geli 400ml</t>
        </is>
      </c>
      <c r="E1553" s="18" t="n">
        <v>6.95</v>
      </c>
      <c r="F1553" s="18" t="n">
        <v>12</v>
      </c>
      <c r="G1553" s="18" t="n">
        <v>0</v>
      </c>
      <c r="H1553" s="18" t="n">
        <v>0</v>
      </c>
      <c r="I1553" s="18" t="n"/>
      <c r="J1553" s="18" t="n"/>
      <c r="K1553" s="19">
        <f>H1553+I1553+J1553</f>
        <v/>
      </c>
      <c r="L1553" s="19">
        <f>K1553-G1553</f>
        <v/>
      </c>
      <c r="M1553" s="20">
        <f>L1553*E1553</f>
        <v/>
      </c>
      <c r="N1553" s="20" t="n">
        <v>50</v>
      </c>
      <c r="O1553" s="20" t="n"/>
      <c r="P1553" s="20">
        <f>O1553-N1553</f>
        <v/>
      </c>
      <c r="Q1553" s="20">
        <f>P1553*E1553</f>
        <v/>
      </c>
      <c r="R1553" s="20" t="n"/>
    </row>
    <row r="1554" ht="20" customHeight="1" s="1">
      <c r="A1554" s="21" t="inlineStr">
        <is>
          <t>22292</t>
        </is>
      </c>
      <c r="B1554" s="22" t="inlineStr">
        <is>
          <t>Sinoz Kozmetik</t>
        </is>
      </c>
      <c r="C1554" s="21" t="inlineStr">
        <is>
          <t>8682974925606</t>
        </is>
      </c>
      <c r="D1554" s="22" t="inlineStr">
        <is>
          <t>The Bath Factory Klinden Gardenshower Dus Geli 400ml</t>
        </is>
      </c>
      <c r="E1554" s="23" t="n">
        <v>6.95</v>
      </c>
      <c r="F1554" s="23" t="n">
        <v>12</v>
      </c>
      <c r="G1554" s="23" t="n">
        <v>179</v>
      </c>
      <c r="H1554" s="23" t="n">
        <v>179</v>
      </c>
      <c r="I1554" s="23" t="n"/>
      <c r="J1554" s="23" t="n"/>
      <c r="K1554" s="19">
        <f>H1554+I1554+J1554</f>
        <v/>
      </c>
      <c r="L1554" s="19">
        <f>K1554-G1554</f>
        <v/>
      </c>
      <c r="M1554" s="20">
        <f>L1554*E1554</f>
        <v/>
      </c>
      <c r="N1554" s="20" t="n">
        <v>50</v>
      </c>
      <c r="O1554" s="20" t="n"/>
      <c r="P1554" s="20">
        <f>O1554-N1554</f>
        <v/>
      </c>
      <c r="Q1554" s="20">
        <f>P1554*E1554</f>
        <v/>
      </c>
      <c r="R1554" s="20" t="n"/>
    </row>
    <row r="1555" ht="20" customHeight="1" s="1">
      <c r="A1555" s="16" t="inlineStr">
        <is>
          <t>21791</t>
        </is>
      </c>
      <c r="B1555" s="17" t="inlineStr">
        <is>
          <t>Sinoz Kozmetik</t>
        </is>
      </c>
      <c r="C1555" s="16" t="inlineStr">
        <is>
          <t>8681925607486</t>
        </is>
      </c>
      <c r="D1555" s="17" t="inlineStr">
        <is>
          <t>Sinoz Perfect Sebum Yagli Deriler Uz Temizleme Geli 400ml</t>
        </is>
      </c>
      <c r="E1555" s="18" t="n">
        <v>13.5</v>
      </c>
      <c r="F1555" s="18" t="n">
        <v>24</v>
      </c>
      <c r="G1555" s="18" t="n">
        <v>111</v>
      </c>
      <c r="H1555" s="18" t="n">
        <v>111</v>
      </c>
      <c r="I1555" s="18" t="n"/>
      <c r="J1555" s="18" t="n"/>
      <c r="K1555" s="19">
        <f>H1555+I1555+J1555</f>
        <v/>
      </c>
      <c r="L1555" s="19">
        <f>K1555-G1555</f>
        <v/>
      </c>
      <c r="M1555" s="20">
        <f>L1555*E1555</f>
        <v/>
      </c>
      <c r="N1555" s="20" t="n">
        <v>50</v>
      </c>
      <c r="O1555" s="20" t="n"/>
      <c r="P1555" s="20">
        <f>O1555-N1555</f>
        <v/>
      </c>
      <c r="Q1555" s="20">
        <f>P1555*E1555</f>
        <v/>
      </c>
      <c r="R1555" s="20" t="n"/>
    </row>
    <row r="1556" ht="20" customHeight="1" s="1">
      <c r="A1556" s="21" t="inlineStr">
        <is>
          <t>21792</t>
        </is>
      </c>
      <c r="B1556" s="22" t="inlineStr">
        <is>
          <t>Sinoz Kozmetik</t>
        </is>
      </c>
      <c r="C1556" s="21" t="inlineStr">
        <is>
          <t>8681925608865</t>
        </is>
      </c>
      <c r="D1556" s="22" t="inlineStr">
        <is>
          <t>Sinoz Hyper Vitality Normal Deriler Uz Temizleme Geli 400ml</t>
        </is>
      </c>
      <c r="E1556" s="23" t="n">
        <v>11.1</v>
      </c>
      <c r="F1556" s="23" t="n">
        <v>24</v>
      </c>
      <c r="G1556" s="23" t="n">
        <v>122</v>
      </c>
      <c r="H1556" s="23" t="n">
        <v>122</v>
      </c>
      <c r="I1556" s="23" t="n"/>
      <c r="J1556" s="23" t="n"/>
      <c r="K1556" s="19">
        <f>H1556+I1556+J1556</f>
        <v/>
      </c>
      <c r="L1556" s="19">
        <f>K1556-G1556</f>
        <v/>
      </c>
      <c r="M1556" s="20">
        <f>L1556*E1556</f>
        <v/>
      </c>
      <c r="N1556" s="20" t="n">
        <v>50</v>
      </c>
      <c r="O1556" s="20" t="n"/>
      <c r="P1556" s="20">
        <f>O1556-N1556</f>
        <v/>
      </c>
      <c r="Q1556" s="20">
        <f>P1556*E1556</f>
        <v/>
      </c>
      <c r="R1556" s="20" t="n"/>
    </row>
    <row r="1557" ht="20" customHeight="1" s="1">
      <c r="A1557" s="16" t="inlineStr">
        <is>
          <t>21793</t>
        </is>
      </c>
      <c r="B1557" s="17" t="inlineStr">
        <is>
          <t>Sinoz Kozmetik</t>
        </is>
      </c>
      <c r="C1557" s="16" t="inlineStr">
        <is>
          <t>8681925608407</t>
        </is>
      </c>
      <c r="D1557" s="17" t="inlineStr">
        <is>
          <t>Sinoz Hydrapro Nemlen. Quru Deriler Uz Temizleme Geli 400ml</t>
        </is>
      </c>
      <c r="E1557" s="18" t="n">
        <v>15.1</v>
      </c>
      <c r="F1557" s="18" t="n">
        <v>24</v>
      </c>
      <c r="G1557" s="18" t="n">
        <v>138</v>
      </c>
      <c r="H1557" s="18" t="n">
        <v>138</v>
      </c>
      <c r="I1557" s="18" t="n"/>
      <c r="J1557" s="18" t="n"/>
      <c r="K1557" s="19">
        <f>H1557+I1557+J1557</f>
        <v/>
      </c>
      <c r="L1557" s="19">
        <f>K1557-G1557</f>
        <v/>
      </c>
      <c r="M1557" s="20">
        <f>L1557*E1557</f>
        <v/>
      </c>
      <c r="N1557" s="20" t="n">
        <v>50</v>
      </c>
      <c r="O1557" s="20" t="n"/>
      <c r="P1557" s="20">
        <f>O1557-N1557</f>
        <v/>
      </c>
      <c r="Q1557" s="20">
        <f>P1557*E1557</f>
        <v/>
      </c>
      <c r="R1557" s="20" t="n"/>
    </row>
    <row r="1558" ht="20" customHeight="1" s="1">
      <c r="A1558" s="21" t="inlineStr">
        <is>
          <t>21787</t>
        </is>
      </c>
      <c r="B1558" s="22" t="inlineStr">
        <is>
          <t>Sinoz Kozmetik</t>
        </is>
      </c>
      <c r="C1558" s="21" t="inlineStr">
        <is>
          <t>8681925607820</t>
        </is>
      </c>
      <c r="D1558" s="22" t="inlineStr">
        <is>
          <t>Sinoz Hydrapro Intensiv Berpaedici Nemlendirici Lasyon 400ml</t>
        </is>
      </c>
      <c r="E1558" s="23" t="n">
        <v>20.2</v>
      </c>
      <c r="F1558" s="23" t="n">
        <v>24</v>
      </c>
      <c r="G1558" s="23" t="n">
        <v>183</v>
      </c>
      <c r="H1558" s="23" t="n">
        <v>183</v>
      </c>
      <c r="I1558" s="23" t="n"/>
      <c r="J1558" s="23" t="n"/>
      <c r="K1558" s="19">
        <f>H1558+I1558+J1558</f>
        <v/>
      </c>
      <c r="L1558" s="19">
        <f>K1558-G1558</f>
        <v/>
      </c>
      <c r="M1558" s="20">
        <f>L1558*E1558</f>
        <v/>
      </c>
      <c r="N1558" s="20" t="n">
        <v>50</v>
      </c>
      <c r="O1558" s="20" t="n"/>
      <c r="P1558" s="20">
        <f>O1558-N1558</f>
        <v/>
      </c>
      <c r="Q1558" s="20">
        <f>P1558*E1558</f>
        <v/>
      </c>
      <c r="R1558" s="20" t="n"/>
    </row>
    <row r="1559" ht="20" customHeight="1" s="1">
      <c r="A1559" s="16" t="inlineStr">
        <is>
          <t>21794</t>
        </is>
      </c>
      <c r="B1559" s="17" t="inlineStr">
        <is>
          <t>Sinoz Kozmetik</t>
        </is>
      </c>
      <c r="C1559" s="16" t="inlineStr">
        <is>
          <t>8681925607950</t>
        </is>
      </c>
      <c r="D1559" s="17" t="inlineStr">
        <is>
          <t>Sinoz Perfect Purity Butun Deri Tipleri Uz Temizleme Geli 400ml</t>
        </is>
      </c>
      <c r="E1559" s="18" t="n">
        <v>19.1</v>
      </c>
      <c r="F1559" s="18" t="n">
        <v>24</v>
      </c>
      <c r="G1559" s="18" t="n">
        <v>150</v>
      </c>
      <c r="H1559" s="18" t="n">
        <v>150</v>
      </c>
      <c r="I1559" s="18" t="n"/>
      <c r="J1559" s="18" t="n"/>
      <c r="K1559" s="19">
        <f>H1559+I1559+J1559</f>
        <v/>
      </c>
      <c r="L1559" s="19">
        <f>K1559-G1559</f>
        <v/>
      </c>
      <c r="M1559" s="20">
        <f>L1559*E1559</f>
        <v/>
      </c>
      <c r="N1559" s="20" t="n">
        <v>50</v>
      </c>
      <c r="O1559" s="20" t="n"/>
      <c r="P1559" s="20">
        <f>O1559-N1559</f>
        <v/>
      </c>
      <c r="Q1559" s="20">
        <f>P1559*E1559</f>
        <v/>
      </c>
      <c r="R1559" s="20" t="n"/>
    </row>
    <row r="1560" ht="20" customHeight="1" s="1">
      <c r="A1560" s="21" t="inlineStr">
        <is>
          <t>21802</t>
        </is>
      </c>
      <c r="B1560" s="22" t="inlineStr">
        <is>
          <t>Sinoz Kozmetik</t>
        </is>
      </c>
      <c r="C1560" s="21" t="inlineStr">
        <is>
          <t>8682974924357</t>
        </is>
      </c>
      <c r="D1560" s="22" t="inlineStr">
        <is>
          <t>The Bath Factory Strawberry Passion Shea Beden Skrabi 300qr</t>
        </is>
      </c>
      <c r="E1560" s="23" t="n">
        <v>14.9</v>
      </c>
      <c r="F1560" s="23" t="n">
        <v>24</v>
      </c>
      <c r="G1560" s="23" t="n">
        <v>50</v>
      </c>
      <c r="H1560" s="23" t="n">
        <v>50</v>
      </c>
      <c r="I1560" s="23" t="n"/>
      <c r="J1560" s="23" t="n"/>
      <c r="K1560" s="19">
        <f>H1560+I1560+J1560</f>
        <v/>
      </c>
      <c r="L1560" s="19">
        <f>K1560-G1560</f>
        <v/>
      </c>
      <c r="M1560" s="20">
        <f>L1560*E1560</f>
        <v/>
      </c>
      <c r="N1560" s="20" t="n">
        <v>50</v>
      </c>
      <c r="O1560" s="20" t="n"/>
      <c r="P1560" s="20">
        <f>O1560-N1560</f>
        <v/>
      </c>
      <c r="Q1560" s="20">
        <f>P1560*E1560</f>
        <v/>
      </c>
      <c r="R1560" s="20" t="n"/>
    </row>
    <row r="1561" ht="20" customHeight="1" s="1">
      <c r="A1561" s="16" t="inlineStr">
        <is>
          <t>21801</t>
        </is>
      </c>
      <c r="B1561" s="17" t="inlineStr">
        <is>
          <t>Sinoz Kozmetik</t>
        </is>
      </c>
      <c r="C1561" s="16" t="inlineStr">
        <is>
          <t>8682974924340</t>
        </is>
      </c>
      <c r="D1561" s="17" t="inlineStr">
        <is>
          <t>The Bath Factory Gold Aura Shea Beden Skrabi 300qr</t>
        </is>
      </c>
      <c r="E1561" s="18" t="n">
        <v>14.9</v>
      </c>
      <c r="F1561" s="18" t="n">
        <v>24</v>
      </c>
      <c r="G1561" s="18" t="n">
        <v>182</v>
      </c>
      <c r="H1561" s="18" t="n"/>
      <c r="I1561" s="18" t="n"/>
      <c r="J1561" s="18" t="n"/>
      <c r="K1561" s="19" t="n"/>
      <c r="L1561" s="19" t="n"/>
      <c r="M1561" s="20" t="n"/>
      <c r="N1561" s="20" t="n">
        <v>50</v>
      </c>
      <c r="O1561" s="20" t="n"/>
      <c r="P1561" s="20">
        <f>O1561-N1561</f>
        <v/>
      </c>
      <c r="Q1561" s="20">
        <f>P1561*E1561</f>
        <v/>
      </c>
      <c r="R1561" s="20" t="n"/>
    </row>
    <row r="1562" ht="20" customHeight="1" s="1">
      <c r="A1562" s="21" t="inlineStr">
        <is>
          <t>21804</t>
        </is>
      </c>
      <c r="B1562" s="22" t="inlineStr">
        <is>
          <t>Sinoz Kozmetik</t>
        </is>
      </c>
      <c r="C1562" s="21" t="inlineStr">
        <is>
          <t>8682974924371</t>
        </is>
      </c>
      <c r="D1562" s="22" t="inlineStr">
        <is>
          <t>The Bath Factory Banana Split Shea Beden Skrabi 300qr</t>
        </is>
      </c>
      <c r="E1562" s="23" t="n">
        <v>14.9</v>
      </c>
      <c r="F1562" s="23" t="n">
        <v>24</v>
      </c>
      <c r="G1562" s="23" t="n">
        <v>68</v>
      </c>
      <c r="H1562" s="23" t="n">
        <v>68</v>
      </c>
      <c r="I1562" s="23" t="n"/>
      <c r="J1562" s="23" t="n"/>
      <c r="K1562" s="19">
        <f>H1562+I1562+J1562</f>
        <v/>
      </c>
      <c r="L1562" s="19">
        <f>K1562-G1562</f>
        <v/>
      </c>
      <c r="M1562" s="20">
        <f>L1562*E1562</f>
        <v/>
      </c>
      <c r="N1562" s="20" t="n">
        <v>50</v>
      </c>
      <c r="O1562" s="20" t="n"/>
      <c r="P1562" s="20">
        <f>O1562-N1562</f>
        <v/>
      </c>
      <c r="Q1562" s="20">
        <f>P1562*E1562</f>
        <v/>
      </c>
      <c r="R1562" s="20" t="n"/>
    </row>
    <row r="1563" ht="20" customHeight="1" s="1">
      <c r="A1563" s="16" t="inlineStr">
        <is>
          <t>21803</t>
        </is>
      </c>
      <c r="B1563" s="17" t="inlineStr">
        <is>
          <t>Sinoz Kozmetik</t>
        </is>
      </c>
      <c r="C1563" s="16" t="inlineStr">
        <is>
          <t>8682974924364</t>
        </is>
      </c>
      <c r="D1563" s="17" t="inlineStr">
        <is>
          <t>The Bath Factory Sweet Vanilla Shea Beden Skrabi 300qr</t>
        </is>
      </c>
      <c r="E1563" s="18" t="n">
        <v>14.9</v>
      </c>
      <c r="F1563" s="18" t="n">
        <v>24</v>
      </c>
      <c r="G1563" s="18" t="n">
        <v>46</v>
      </c>
      <c r="H1563" s="18" t="n">
        <v>46</v>
      </c>
      <c r="I1563" s="18" t="n"/>
      <c r="J1563" s="18" t="n"/>
      <c r="K1563" s="19">
        <f>H1563+I1563+J1563</f>
        <v/>
      </c>
      <c r="L1563" s="19">
        <f>K1563-G1563</f>
        <v/>
      </c>
      <c r="M1563" s="20">
        <f>L1563*E1563</f>
        <v/>
      </c>
      <c r="N1563" s="20" t="n">
        <v>50</v>
      </c>
      <c r="O1563" s="20" t="n"/>
      <c r="P1563" s="20">
        <f>O1563-N1563</f>
        <v/>
      </c>
      <c r="Q1563" s="20">
        <f>P1563*E1563</f>
        <v/>
      </c>
      <c r="R1563" s="20" t="n"/>
    </row>
    <row r="1564" ht="20" customHeight="1" s="1">
      <c r="A1564" s="21" t="inlineStr">
        <is>
          <t>21796</t>
        </is>
      </c>
      <c r="B1564" s="22" t="inlineStr">
        <is>
          <t>Sinoz Kozmetik</t>
        </is>
      </c>
      <c r="C1564" s="21" t="inlineStr">
        <is>
          <t>8681925600777</t>
        </is>
      </c>
      <c r="D1564" s="22" t="inlineStr">
        <is>
          <t>Sinoz Beden Skrabi Eller Ayaqlar Beden 300qr</t>
        </is>
      </c>
      <c r="E1564" s="23" t="n">
        <v>11.4</v>
      </c>
      <c r="F1564" s="23" t="n">
        <v>24</v>
      </c>
      <c r="G1564" s="23" t="n">
        <v>86</v>
      </c>
      <c r="H1564" s="23" t="n">
        <v>86</v>
      </c>
      <c r="I1564" s="23" t="n"/>
      <c r="J1564" s="23" t="n"/>
      <c r="K1564" s="19">
        <f>H1564+I1564+J1564</f>
        <v/>
      </c>
      <c r="L1564" s="19">
        <f>K1564-G1564</f>
        <v/>
      </c>
      <c r="M1564" s="20">
        <f>L1564*E1564</f>
        <v/>
      </c>
      <c r="N1564" s="20" t="n">
        <v>50</v>
      </c>
      <c r="O1564" s="20" t="n"/>
      <c r="P1564" s="20">
        <f>O1564-N1564</f>
        <v/>
      </c>
      <c r="Q1564" s="20">
        <f>P1564*E1564</f>
        <v/>
      </c>
      <c r="R1564" s="20" t="n"/>
    </row>
    <row r="1565" ht="20" customHeight="1" s="1">
      <c r="A1565" s="16" t="inlineStr">
        <is>
          <t>21800</t>
        </is>
      </c>
      <c r="B1565" s="17" t="inlineStr">
        <is>
          <t>Sinoz Kozmetik</t>
        </is>
      </c>
      <c r="C1565" s="16" t="inlineStr">
        <is>
          <t>8682974924517</t>
        </is>
      </c>
      <c r="D1565" s="17" t="inlineStr">
        <is>
          <t>The Bath Factory Gold Aura Beden Spreyi 200ml</t>
        </is>
      </c>
      <c r="E1565" s="18" t="n">
        <v>11.4</v>
      </c>
      <c r="F1565" s="18" t="n">
        <v>24</v>
      </c>
      <c r="G1565" s="18" t="n">
        <v>41</v>
      </c>
      <c r="H1565" s="18" t="n">
        <v>40</v>
      </c>
      <c r="I1565" s="18" t="n">
        <v>1</v>
      </c>
      <c r="J1565" s="18" t="n"/>
      <c r="K1565" s="19">
        <f>H1565+I1565+J1565</f>
        <v/>
      </c>
      <c r="L1565" s="19">
        <f>K1565-G1565</f>
        <v/>
      </c>
      <c r="M1565" s="20">
        <f>L1565*E1565</f>
        <v/>
      </c>
      <c r="N1565" s="20" t="n">
        <v>50</v>
      </c>
      <c r="O1565" s="20" t="n"/>
      <c r="P1565" s="20">
        <f>O1565-N1565</f>
        <v/>
      </c>
      <c r="Q1565" s="20">
        <f>P1565*E1565</f>
        <v/>
      </c>
      <c r="R1565" s="20" t="n"/>
    </row>
    <row r="1566" ht="20" customHeight="1" s="1">
      <c r="A1566" s="21" t="inlineStr">
        <is>
          <t>21795</t>
        </is>
      </c>
      <c r="B1566" s="22" t="inlineStr">
        <is>
          <t>Sinoz Kozmetik</t>
        </is>
      </c>
      <c r="C1566" s="21" t="inlineStr">
        <is>
          <t>8681925607240</t>
        </is>
      </c>
      <c r="D1566" s="22" t="inlineStr">
        <is>
          <t>Sinoz Glow 5% Isilti Verici Canlandirici Tonik 200ml</t>
        </is>
      </c>
      <c r="E1566" s="23" t="n">
        <v>15.1</v>
      </c>
      <c r="F1566" s="23" t="n">
        <v>24</v>
      </c>
      <c r="G1566" s="23" t="n">
        <v>132</v>
      </c>
      <c r="H1566" s="23" t="n">
        <v>132</v>
      </c>
      <c r="I1566" s="23" t="n"/>
      <c r="J1566" s="23" t="n"/>
      <c r="K1566" s="19">
        <f>H1566+I1566+J1566</f>
        <v/>
      </c>
      <c r="L1566" s="19">
        <f>K1566-G1566</f>
        <v/>
      </c>
      <c r="M1566" s="20">
        <f>L1566*E1566</f>
        <v/>
      </c>
      <c r="N1566" s="20" t="n">
        <v>50</v>
      </c>
      <c r="O1566" s="20" t="n"/>
      <c r="P1566" s="20">
        <f>O1566-N1566</f>
        <v/>
      </c>
      <c r="Q1566" s="20">
        <f>P1566*E1566</f>
        <v/>
      </c>
      <c r="R1566" s="20" t="n"/>
    </row>
    <row r="1567" ht="20" customHeight="1" s="1">
      <c r="A1567" s="16" t="inlineStr">
        <is>
          <t>21789</t>
        </is>
      </c>
      <c r="B1567" s="17" t="inlineStr">
        <is>
          <t>Sinoz Kozmetik</t>
        </is>
      </c>
      <c r="C1567" s="16" t="inlineStr">
        <is>
          <t>8681925607059</t>
        </is>
      </c>
      <c r="D1567" s="17" t="inlineStr">
        <is>
          <t>Sinoz No:16 Mocuzevi Yag Uz Beden Sac 100ml</t>
        </is>
      </c>
      <c r="E1567" s="18" t="n">
        <v>19.8</v>
      </c>
      <c r="F1567" s="18" t="n">
        <v>24</v>
      </c>
      <c r="G1567" s="18" t="n">
        <v>46</v>
      </c>
      <c r="H1567" s="18" t="n">
        <v>45</v>
      </c>
      <c r="I1567" s="18" t="n">
        <v>1</v>
      </c>
      <c r="J1567" s="18" t="n"/>
      <c r="K1567" s="19">
        <f>H1567+I1567+J1567</f>
        <v/>
      </c>
      <c r="L1567" s="19">
        <f>K1567-G1567</f>
        <v/>
      </c>
      <c r="M1567" s="20">
        <f>L1567*E1567</f>
        <v/>
      </c>
      <c r="N1567" s="20" t="n">
        <v>50</v>
      </c>
      <c r="O1567" s="20" t="n"/>
      <c r="P1567" s="20">
        <f>O1567-N1567</f>
        <v/>
      </c>
      <c r="Q1567" s="20">
        <f>P1567*E1567</f>
        <v/>
      </c>
      <c r="R1567" s="20" t="n"/>
    </row>
    <row r="1568" ht="20" customHeight="1" s="1">
      <c r="A1568" s="21" t="inlineStr">
        <is>
          <t>21790</t>
        </is>
      </c>
      <c r="B1568" s="22" t="inlineStr">
        <is>
          <t>Sinoz Kozmetik</t>
        </is>
      </c>
      <c r="C1568" s="21" t="inlineStr">
        <is>
          <t>8681925607561</t>
        </is>
      </c>
      <c r="D1568" s="22" t="inlineStr">
        <is>
          <t>Sinoz No:16 Mocuzevi Shimmer Yagi 100ml</t>
        </is>
      </c>
      <c r="E1568" s="23" t="n">
        <v>19.8</v>
      </c>
      <c r="F1568" s="23" t="n">
        <v>24</v>
      </c>
      <c r="G1568" s="23" t="n">
        <v>40</v>
      </c>
      <c r="H1568" s="23" t="n">
        <v>40</v>
      </c>
      <c r="I1568" s="23" t="n"/>
      <c r="J1568" s="23" t="n"/>
      <c r="K1568" s="19">
        <f>H1568+I1568+J1568</f>
        <v/>
      </c>
      <c r="L1568" s="19">
        <f>K1568-G1568</f>
        <v/>
      </c>
      <c r="M1568" s="20">
        <f>L1568*E1568</f>
        <v/>
      </c>
      <c r="N1568" s="20" t="n">
        <v>50</v>
      </c>
      <c r="O1568" s="20" t="n"/>
      <c r="P1568" s="20">
        <f>O1568-N1568</f>
        <v/>
      </c>
      <c r="Q1568" s="20">
        <f>P1568*E1568</f>
        <v/>
      </c>
      <c r="R1568" s="20" t="n"/>
    </row>
    <row r="1569" ht="20" customHeight="1" s="1">
      <c r="A1569" s="16" t="inlineStr">
        <is>
          <t>21788</t>
        </is>
      </c>
      <c r="B1569" s="17" t="inlineStr">
        <is>
          <t>Sinoz Kozmetik</t>
        </is>
      </c>
      <c r="C1569" s="16" t="inlineStr">
        <is>
          <t>8681925600388</t>
        </is>
      </c>
      <c r="D1569" s="17" t="inlineStr">
        <is>
          <t>Sinoz Hydrapro Intensiv Nemlendirici El Kremi 50ml</t>
        </is>
      </c>
      <c r="E1569" s="18" t="n">
        <v>5.6</v>
      </c>
      <c r="F1569" s="18" t="n">
        <v>24</v>
      </c>
      <c r="G1569" s="18" t="n">
        <v>92</v>
      </c>
      <c r="H1569" s="18" t="n">
        <v>92</v>
      </c>
      <c r="I1569" s="18" t="n"/>
      <c r="J1569" s="18" t="n"/>
      <c r="K1569" s="19">
        <f>H1569+I1569+J1569</f>
        <v/>
      </c>
      <c r="L1569" s="19">
        <f>K1569-G1569</f>
        <v/>
      </c>
      <c r="M1569" s="20">
        <f>L1569*E1569</f>
        <v/>
      </c>
      <c r="N1569" s="20" t="n">
        <v>50</v>
      </c>
      <c r="O1569" s="20" t="n"/>
      <c r="P1569" s="20">
        <f>O1569-N1569</f>
        <v/>
      </c>
      <c r="Q1569" s="20">
        <f>P1569*E1569</f>
        <v/>
      </c>
      <c r="R1569" s="20" t="n"/>
    </row>
    <row r="1570" ht="20" customHeight="1" s="1">
      <c r="A1570" s="21" t="inlineStr">
        <is>
          <t>21781</t>
        </is>
      </c>
      <c r="B1570" s="22" t="inlineStr">
        <is>
          <t>Sinoz Kozmetik</t>
        </is>
      </c>
      <c r="C1570" s="21" t="inlineStr">
        <is>
          <t>8681925608810</t>
        </is>
      </c>
      <c r="D1570" s="22" t="inlineStr">
        <is>
          <t>Sinoz Hydrapro Intensiv Nemlendirici Uz Kremi 50ml</t>
        </is>
      </c>
      <c r="E1570" s="23" t="n">
        <v>20.4</v>
      </c>
      <c r="F1570" s="23" t="n">
        <v>24</v>
      </c>
      <c r="G1570" s="23" t="n">
        <v>88</v>
      </c>
      <c r="H1570" s="23" t="n">
        <v>88</v>
      </c>
      <c r="I1570" s="23" t="n"/>
      <c r="J1570" s="23" t="n"/>
      <c r="K1570" s="19">
        <f>H1570+I1570+J1570</f>
        <v/>
      </c>
      <c r="L1570" s="19">
        <f>K1570-G1570</f>
        <v/>
      </c>
      <c r="M1570" s="20">
        <f>L1570*E1570</f>
        <v/>
      </c>
      <c r="N1570" s="20" t="n">
        <v>50</v>
      </c>
      <c r="O1570" s="20" t="n"/>
      <c r="P1570" s="20">
        <f>O1570-N1570</f>
        <v/>
      </c>
      <c r="Q1570" s="20">
        <f>P1570*E1570</f>
        <v/>
      </c>
      <c r="R1570" s="20" t="n"/>
    </row>
    <row r="1571" ht="20" customHeight="1" s="1">
      <c r="A1571" s="16" t="inlineStr">
        <is>
          <t>21777</t>
        </is>
      </c>
      <c r="B1571" s="17" t="inlineStr">
        <is>
          <t>Sinoz Kozmetik</t>
        </is>
      </c>
      <c r="C1571" s="16" t="inlineStr">
        <is>
          <t>8681925607516</t>
        </is>
      </c>
      <c r="D1571" s="17" t="inlineStr">
        <is>
          <t>Sinoz Pure Cica Ultra Berpaedici Nemlendirici Krem 50ml</t>
        </is>
      </c>
      <c r="E1571" s="18" t="n">
        <v>14.83</v>
      </c>
      <c r="F1571" s="18" t="n">
        <v>24</v>
      </c>
      <c r="G1571" s="18" t="n">
        <v>51</v>
      </c>
      <c r="H1571" s="18" t="n">
        <v>51</v>
      </c>
      <c r="I1571" s="18" t="n"/>
      <c r="J1571" s="18" t="n"/>
      <c r="K1571" s="19">
        <f>H1571+I1571+J1571</f>
        <v/>
      </c>
      <c r="L1571" s="19">
        <f>K1571-G1571</f>
        <v/>
      </c>
      <c r="M1571" s="20">
        <f>L1571*E1571</f>
        <v/>
      </c>
      <c r="N1571" s="20" t="n">
        <v>50</v>
      </c>
      <c r="O1571" s="20" t="n"/>
      <c r="P1571" s="20">
        <f>O1571-N1571</f>
        <v/>
      </c>
      <c r="Q1571" s="20">
        <f>P1571*E1571</f>
        <v/>
      </c>
      <c r="R1571" s="20" t="n"/>
    </row>
    <row r="1572" ht="20" customHeight="1" s="1">
      <c r="A1572" s="21" t="inlineStr">
        <is>
          <t>21797</t>
        </is>
      </c>
      <c r="B1572" s="22" t="inlineStr">
        <is>
          <t>Sinoz Kozmetik</t>
        </is>
      </c>
      <c r="C1572" s="21" t="inlineStr">
        <is>
          <t>8681925607042</t>
        </is>
      </c>
      <c r="D1572" s="22" t="inlineStr">
        <is>
          <t>Sinoz Temizleyici Gil Maskasi 50ml</t>
        </is>
      </c>
      <c r="E1572" s="23" t="n">
        <v>9.9</v>
      </c>
      <c r="F1572" s="23" t="n">
        <v>24</v>
      </c>
      <c r="G1572" s="23" t="n">
        <v>60</v>
      </c>
      <c r="H1572" s="23" t="n">
        <v>60</v>
      </c>
      <c r="I1572" s="23" t="n"/>
      <c r="J1572" s="23" t="n"/>
      <c r="K1572" s="19">
        <f>H1572+I1572+J1572</f>
        <v/>
      </c>
      <c r="L1572" s="19">
        <f>K1572-G1572</f>
        <v/>
      </c>
      <c r="M1572" s="20">
        <f>L1572*E1572</f>
        <v/>
      </c>
      <c r="N1572" s="20" t="n">
        <v>50</v>
      </c>
      <c r="O1572" s="20" t="n"/>
      <c r="P1572" s="20">
        <f>O1572-N1572</f>
        <v/>
      </c>
      <c r="Q1572" s="20">
        <f>P1572*E1572</f>
        <v/>
      </c>
      <c r="R1572" s="20" t="n"/>
    </row>
    <row r="1573" ht="20" customHeight="1" s="1">
      <c r="A1573" s="16" t="inlineStr">
        <is>
          <t>21784</t>
        </is>
      </c>
      <c r="B1573" s="17" t="inlineStr">
        <is>
          <t>Sinoz Kozmetik</t>
        </is>
      </c>
      <c r="C1573" s="16" t="inlineStr">
        <is>
          <t>8681925606595</t>
        </is>
      </c>
      <c r="D1573" s="17" t="inlineStr">
        <is>
          <t>Sinoz Niacinamide Poralara Qarsi Serum 30ml</t>
        </is>
      </c>
      <c r="E1573" s="18" t="n">
        <v>15.1</v>
      </c>
      <c r="F1573" s="18" t="n">
        <v>24</v>
      </c>
      <c r="G1573" s="18" t="n">
        <v>22</v>
      </c>
      <c r="H1573" s="18" t="n">
        <v>22</v>
      </c>
      <c r="I1573" s="18" t="n"/>
      <c r="J1573" s="18" t="n"/>
      <c r="K1573" s="19">
        <f>H1573+I1573+J1573</f>
        <v/>
      </c>
      <c r="L1573" s="19">
        <f>K1573-G1573</f>
        <v/>
      </c>
      <c r="M1573" s="20">
        <f>L1573*E1573</f>
        <v/>
      </c>
      <c r="N1573" s="20" t="n">
        <v>50</v>
      </c>
      <c r="O1573" s="20" t="n"/>
      <c r="P1573" s="20">
        <f>O1573-N1573</f>
        <v/>
      </c>
      <c r="Q1573" s="20">
        <f>P1573*E1573</f>
        <v/>
      </c>
      <c r="R1573" s="20" t="n"/>
    </row>
    <row r="1574" ht="20" customHeight="1" s="1">
      <c r="A1574" s="21" t="inlineStr">
        <is>
          <t>21783</t>
        </is>
      </c>
      <c r="B1574" s="22" t="inlineStr">
        <is>
          <t>Sinoz Kozmetik</t>
        </is>
      </c>
      <c r="C1574" s="21" t="inlineStr">
        <is>
          <t>8681925606601</t>
        </is>
      </c>
      <c r="D1574" s="22" t="inlineStr">
        <is>
          <t>Sinoz Alpha Arbutin Lekelere Qarsi Serum 30ml</t>
        </is>
      </c>
      <c r="E1574" s="23" t="n">
        <v>18</v>
      </c>
      <c r="F1574" s="23" t="n">
        <v>24</v>
      </c>
      <c r="G1574" s="23" t="n">
        <v>17</v>
      </c>
      <c r="H1574" s="23" t="n">
        <v>17</v>
      </c>
      <c r="I1574" s="23" t="n"/>
      <c r="J1574" s="23" t="n"/>
      <c r="K1574" s="19">
        <f>H1574+I1574+J1574</f>
        <v/>
      </c>
      <c r="L1574" s="19">
        <f>K1574-G1574</f>
        <v/>
      </c>
      <c r="M1574" s="20">
        <f>L1574*E1574</f>
        <v/>
      </c>
      <c r="N1574" s="20" t="n">
        <v>50</v>
      </c>
      <c r="O1574" s="20" t="n"/>
      <c r="P1574" s="20">
        <f>O1574-N1574</f>
        <v/>
      </c>
      <c r="Q1574" s="20">
        <f>P1574*E1574</f>
        <v/>
      </c>
      <c r="R1574" s="20" t="n"/>
    </row>
    <row r="1575" ht="20" customHeight="1" s="1">
      <c r="A1575" s="16" t="inlineStr">
        <is>
          <t>21785</t>
        </is>
      </c>
      <c r="B1575" s="17" t="inlineStr">
        <is>
          <t>Sinoz Kozmetik</t>
        </is>
      </c>
      <c r="C1575" s="16" t="inlineStr">
        <is>
          <t>8681925606175</t>
        </is>
      </c>
      <c r="D1575" s="17" t="inlineStr">
        <is>
          <t>Sinoz Vitamin C Serum 30ml</t>
        </is>
      </c>
      <c r="E1575" s="18" t="n">
        <v>17.55</v>
      </c>
      <c r="F1575" s="18" t="n">
        <v>24</v>
      </c>
      <c r="G1575" s="18" t="n">
        <v>55</v>
      </c>
      <c r="H1575" s="18" t="n">
        <v>55</v>
      </c>
      <c r="I1575" s="18" t="n"/>
      <c r="J1575" s="18" t="n"/>
      <c r="K1575" s="19">
        <f>H1575+I1575+J1575</f>
        <v/>
      </c>
      <c r="L1575" s="19">
        <f>K1575-G1575</f>
        <v/>
      </c>
      <c r="M1575" s="20">
        <f>L1575*E1575</f>
        <v/>
      </c>
      <c r="N1575" s="20" t="n">
        <v>50</v>
      </c>
      <c r="O1575" s="20" t="n"/>
      <c r="P1575" s="20">
        <f>O1575-N1575</f>
        <v/>
      </c>
      <c r="Q1575" s="20">
        <f>P1575*E1575</f>
        <v/>
      </c>
      <c r="R1575" s="20" t="n"/>
    </row>
    <row r="1576" ht="20" customHeight="1" s="1">
      <c r="A1576" s="21" t="inlineStr">
        <is>
          <t>21786</t>
        </is>
      </c>
      <c r="B1576" s="22" t="inlineStr">
        <is>
          <t>Sinoz Kozmetik</t>
        </is>
      </c>
      <c r="C1576" s="21" t="inlineStr">
        <is>
          <t>8681925608759</t>
        </is>
      </c>
      <c r="D1576" s="22" t="inlineStr">
        <is>
          <t>Sinoz Retinol Yaslanmaya Qarsi Yenileyici Serum 30ml</t>
        </is>
      </c>
      <c r="E1576" s="23" t="n">
        <v>19.7</v>
      </c>
      <c r="F1576" s="23" t="n">
        <v>24</v>
      </c>
      <c r="G1576" s="23" t="n">
        <v>41</v>
      </c>
      <c r="H1576" s="23" t="n">
        <v>41</v>
      </c>
      <c r="I1576" s="23" t="n"/>
      <c r="J1576" s="23" t="n"/>
      <c r="K1576" s="19">
        <f>H1576+I1576+J1576</f>
        <v/>
      </c>
      <c r="L1576" s="19">
        <f>K1576-G1576</f>
        <v/>
      </c>
      <c r="M1576" s="20">
        <f>L1576*E1576</f>
        <v/>
      </c>
      <c r="N1576" s="20" t="n">
        <v>50</v>
      </c>
      <c r="O1576" s="20" t="n"/>
      <c r="P1576" s="20">
        <f>O1576-N1576</f>
        <v/>
      </c>
      <c r="Q1576" s="20">
        <f>P1576*E1576</f>
        <v/>
      </c>
      <c r="R1576" s="20" t="n"/>
    </row>
    <row r="1577" ht="20" customHeight="1" s="1">
      <c r="A1577" s="16" t="inlineStr">
        <is>
          <t>21779</t>
        </is>
      </c>
      <c r="B1577" s="17" t="inlineStr">
        <is>
          <t>Sinoz Kozmetik</t>
        </is>
      </c>
      <c r="C1577" s="16" t="inlineStr">
        <is>
          <t>8681925608773</t>
        </is>
      </c>
      <c r="D1577" s="17" t="inlineStr">
        <is>
          <t>Sinoz Pure Cica Serum 30ml</t>
        </is>
      </c>
      <c r="E1577" s="18" t="n">
        <v>17.3</v>
      </c>
      <c r="F1577" s="18" t="n">
        <v>24</v>
      </c>
      <c r="G1577" s="18" t="n">
        <v>22</v>
      </c>
      <c r="H1577" s="18" t="n">
        <v>21</v>
      </c>
      <c r="I1577" s="18" t="n">
        <v>1</v>
      </c>
      <c r="J1577" s="18" t="n"/>
      <c r="K1577" s="19">
        <f>H1577+I1577+J1577</f>
        <v/>
      </c>
      <c r="L1577" s="19">
        <f>K1577-G1577</f>
        <v/>
      </c>
      <c r="M1577" s="20">
        <f>L1577*E1577</f>
        <v/>
      </c>
      <c r="N1577" s="20" t="n">
        <v>50</v>
      </c>
      <c r="O1577" s="20" t="n"/>
      <c r="P1577" s="20">
        <f>O1577-N1577</f>
        <v/>
      </c>
      <c r="Q1577" s="20">
        <f>P1577*E1577</f>
        <v/>
      </c>
      <c r="R1577" s="20" t="n"/>
    </row>
    <row r="1578" ht="20" customHeight="1" s="1">
      <c r="A1578" s="21" t="inlineStr">
        <is>
          <t>21782</t>
        </is>
      </c>
      <c r="B1578" s="22" t="inlineStr">
        <is>
          <t>Sinoz Kozmetik</t>
        </is>
      </c>
      <c r="C1578" s="21" t="inlineStr">
        <is>
          <t>8681925606045</t>
        </is>
      </c>
      <c r="D1578" s="22" t="inlineStr">
        <is>
          <t>Sinoz 24K Qizil Gozellik Serumu 30ml</t>
        </is>
      </c>
      <c r="E1578" s="23" t="n">
        <v>19.8</v>
      </c>
      <c r="F1578" s="23" t="n">
        <v>24</v>
      </c>
      <c r="G1578" s="23" t="n">
        <v>74</v>
      </c>
      <c r="H1578" s="23" t="n">
        <v>74</v>
      </c>
      <c r="I1578" s="23" t="n"/>
      <c r="J1578" s="23" t="n"/>
      <c r="K1578" s="19">
        <f>H1578+I1578+J1578</f>
        <v/>
      </c>
      <c r="L1578" s="19">
        <f>K1578-G1578</f>
        <v/>
      </c>
      <c r="M1578" s="20">
        <f>L1578*E1578</f>
        <v/>
      </c>
      <c r="N1578" s="20" t="n">
        <v>50</v>
      </c>
      <c r="O1578" s="20" t="n"/>
      <c r="P1578" s="20">
        <f>O1578-N1578</f>
        <v/>
      </c>
      <c r="Q1578" s="20">
        <f>P1578*E1578</f>
        <v/>
      </c>
      <c r="R1578" s="20" t="n"/>
    </row>
    <row r="1579" ht="20" customHeight="1" s="1">
      <c r="A1579" s="16" t="inlineStr">
        <is>
          <t>21799</t>
        </is>
      </c>
      <c r="B1579" s="17" t="inlineStr">
        <is>
          <t>Sinoz Kozmetik</t>
        </is>
      </c>
      <c r="C1579" s="16" t="inlineStr">
        <is>
          <t>8682974924500</t>
        </is>
      </c>
      <c r="D1579" s="17" t="inlineStr">
        <is>
          <t>The Bath Factory Gold Aura El Kremi 30ml</t>
        </is>
      </c>
      <c r="E1579" s="18" t="n">
        <v>2.35</v>
      </c>
      <c r="F1579" s="18" t="n">
        <v>75</v>
      </c>
      <c r="G1579" s="18" t="n">
        <v>64</v>
      </c>
      <c r="H1579" s="18" t="n">
        <v>64</v>
      </c>
      <c r="I1579" s="18" t="n"/>
      <c r="J1579" s="18" t="n"/>
      <c r="K1579" s="19">
        <f>H1579+I1579+J1579</f>
        <v/>
      </c>
      <c r="L1579" s="19">
        <f>K1579-G1579</f>
        <v/>
      </c>
      <c r="M1579" s="20">
        <f>L1579*E1579</f>
        <v/>
      </c>
      <c r="N1579" s="20" t="n">
        <v>50</v>
      </c>
      <c r="O1579" s="20" t="n"/>
      <c r="P1579" s="20">
        <f>O1579-N1579</f>
        <v/>
      </c>
      <c r="Q1579" s="20">
        <f>P1579*E1579</f>
        <v/>
      </c>
      <c r="R1579" s="20" t="n"/>
    </row>
    <row r="1580" ht="20" customHeight="1" s="1">
      <c r="A1580" s="21" t="inlineStr">
        <is>
          <t>21778</t>
        </is>
      </c>
      <c r="B1580" s="22" t="inlineStr">
        <is>
          <t>Sinoz Kozmetik</t>
        </is>
      </c>
      <c r="C1580" s="21" t="inlineStr">
        <is>
          <t>8681925608032</t>
        </is>
      </c>
      <c r="D1580" s="22" t="inlineStr">
        <is>
          <t>Sinoz Pure Cica Tiger Grass Reng Beraberlesdirici Krem 15ml</t>
        </is>
      </c>
      <c r="E1580" s="23" t="n">
        <v>17.3</v>
      </c>
      <c r="F1580" s="23" t="n">
        <v>24</v>
      </c>
      <c r="G1580" s="23" t="n">
        <v>76</v>
      </c>
      <c r="H1580" s="23" t="n">
        <v>76</v>
      </c>
      <c r="I1580" s="23" t="n"/>
      <c r="J1580" s="23" t="n"/>
      <c r="K1580" s="19">
        <f>H1580+I1580+J1580</f>
        <v/>
      </c>
      <c r="L1580" s="19">
        <f>K1580-G1580</f>
        <v/>
      </c>
      <c r="M1580" s="20">
        <f>L1580*E1580</f>
        <v/>
      </c>
      <c r="N1580" s="20" t="n">
        <v>50</v>
      </c>
      <c r="O1580" s="20" t="n"/>
      <c r="P1580" s="20">
        <f>O1580-N1580</f>
        <v/>
      </c>
      <c r="Q1580" s="20">
        <f>P1580*E1580</f>
        <v/>
      </c>
      <c r="R1580" s="20" t="n"/>
    </row>
    <row r="1581" ht="20" customHeight="1" s="1">
      <c r="A1581" s="16" t="inlineStr">
        <is>
          <t>21798</t>
        </is>
      </c>
      <c r="B1581" s="17" t="inlineStr">
        <is>
          <t>Sinoz Kozmetik</t>
        </is>
      </c>
      <c r="C1581" s="16" t="inlineStr">
        <is>
          <t>8681925600142</t>
        </is>
      </c>
      <c r="D1581" s="17" t="inlineStr">
        <is>
          <t>Sinoz Goz Konturu Kremi 15ml</t>
        </is>
      </c>
      <c r="E1581" s="18" t="n">
        <v>9.9</v>
      </c>
      <c r="F1581" s="18" t="n">
        <v>24</v>
      </c>
      <c r="G1581" s="18" t="n">
        <v>69</v>
      </c>
      <c r="H1581" s="18" t="n">
        <v>69</v>
      </c>
      <c r="I1581" s="18" t="n"/>
      <c r="J1581" s="18" t="n"/>
      <c r="K1581" s="19">
        <f>H1581+I1581+J1581</f>
        <v/>
      </c>
      <c r="L1581" s="19">
        <f>K1581-G1581</f>
        <v/>
      </c>
      <c r="M1581" s="20">
        <f>L1581*E1581</f>
        <v/>
      </c>
      <c r="N1581" s="20" t="n">
        <v>50</v>
      </c>
      <c r="O1581" s="20" t="n"/>
      <c r="P1581" s="20">
        <f>O1581-N1581</f>
        <v/>
      </c>
      <c r="Q1581" s="20">
        <f>P1581*E1581</f>
        <v/>
      </c>
      <c r="R1581" s="20" t="n"/>
    </row>
    <row r="1582" ht="20" customHeight="1" s="1">
      <c r="A1582" s="21" t="inlineStr">
        <is>
          <t>21780</t>
        </is>
      </c>
      <c r="B1582" s="22" t="inlineStr">
        <is>
          <t>Sinoz Kozmetik</t>
        </is>
      </c>
      <c r="C1582" s="21" t="inlineStr">
        <is>
          <t>8681925606069</t>
        </is>
      </c>
      <c r="D1582" s="22" t="inlineStr">
        <is>
          <t>Sinoz Lekelere Qarsi Uz Kremi 40ml</t>
        </is>
      </c>
      <c r="E1582" s="23" t="n">
        <v>13.4</v>
      </c>
      <c r="F1582" s="23" t="n">
        <v>24</v>
      </c>
      <c r="G1582" s="23" t="n">
        <v>17</v>
      </c>
      <c r="H1582" s="23" t="n">
        <v>16</v>
      </c>
      <c r="I1582" s="23" t="n">
        <v>1</v>
      </c>
      <c r="J1582" s="23" t="n"/>
      <c r="K1582" s="19">
        <f>H1582+I1582+J1582</f>
        <v/>
      </c>
      <c r="L1582" s="19">
        <f>K1582-G1582</f>
        <v/>
      </c>
      <c r="M1582" s="20">
        <f>L1582*E1582</f>
        <v/>
      </c>
      <c r="N1582" s="20" t="n">
        <v>50</v>
      </c>
      <c r="O1582" s="20" t="n"/>
      <c r="P1582" s="20">
        <f>O1582-N1582</f>
        <v/>
      </c>
      <c r="Q1582" s="20">
        <f>P1582*E1582</f>
        <v/>
      </c>
      <c r="R1582" s="20" t="n"/>
    </row>
    <row r="1583" ht="20" customHeight="1" s="1">
      <c r="A1583" s="16" t="inlineStr">
        <is>
          <t>21776</t>
        </is>
      </c>
      <c r="B1583" s="17" t="inlineStr">
        <is>
          <t>Sinoz Kozmetik</t>
        </is>
      </c>
      <c r="C1583" s="16" t="inlineStr">
        <is>
          <t>8681925607455</t>
        </is>
      </c>
      <c r="D1583" s="17" t="inlineStr">
        <is>
          <t>Sinoz Mukemmel Bronzlasdirma Yagi 200ml</t>
        </is>
      </c>
      <c r="E1583" s="18" t="n">
        <v>15.1</v>
      </c>
      <c r="F1583" s="18" t="n">
        <v>24</v>
      </c>
      <c r="G1583" s="18" t="n">
        <v>3</v>
      </c>
      <c r="H1583" s="18" t="n">
        <v>3</v>
      </c>
      <c r="I1583" s="18" t="n"/>
      <c r="J1583" s="18" t="n"/>
      <c r="K1583" s="19">
        <f>H1583+I1583+J1583</f>
        <v/>
      </c>
      <c r="L1583" s="19">
        <f>K1583-G1583</f>
        <v/>
      </c>
      <c r="M1583" s="20">
        <f>L1583*E1583</f>
        <v/>
      </c>
      <c r="N1583" s="20" t="n">
        <v>50</v>
      </c>
      <c r="O1583" s="20" t="n"/>
      <c r="P1583" s="20">
        <f>O1583-N1583</f>
        <v/>
      </c>
      <c r="Q1583" s="20">
        <f>P1583*E1583</f>
        <v/>
      </c>
      <c r="R1583" s="20" t="n"/>
    </row>
    <row r="1584" ht="20" customHeight="1" s="1">
      <c r="A1584" s="21" t="inlineStr">
        <is>
          <t>21774</t>
        </is>
      </c>
      <c r="B1584" s="22" t="inlineStr">
        <is>
          <t>Sinoz Kozmetik</t>
        </is>
      </c>
      <c r="C1584" s="21" t="inlineStr">
        <is>
          <t>8681925607448</t>
        </is>
      </c>
      <c r="D1584" s="22" t="inlineStr">
        <is>
          <t>Sinoz Yuksek Qoruyuculu Gunes Kremi Sudu SPF 50+ 200ml</t>
        </is>
      </c>
      <c r="E1584" s="23" t="n">
        <v>20.1</v>
      </c>
      <c r="F1584" s="23" t="n">
        <v>24</v>
      </c>
      <c r="G1584" s="23" t="n">
        <v>0</v>
      </c>
      <c r="H1584" s="23" t="n">
        <v>0</v>
      </c>
      <c r="I1584" s="23" t="n"/>
      <c r="J1584" s="23" t="n"/>
      <c r="K1584" s="19">
        <f>H1584+I1584+J1584</f>
        <v/>
      </c>
      <c r="L1584" s="19">
        <f>K1584-G1584</f>
        <v/>
      </c>
      <c r="M1584" s="20">
        <f>L1584*E1584</f>
        <v/>
      </c>
      <c r="N1584" s="20" t="n">
        <v>50</v>
      </c>
      <c r="O1584" s="20" t="n"/>
      <c r="P1584" s="20">
        <f>O1584-N1584</f>
        <v/>
      </c>
      <c r="Q1584" s="20">
        <f>P1584*E1584</f>
        <v/>
      </c>
      <c r="R1584" s="20" t="n"/>
    </row>
    <row r="1585" ht="20" customHeight="1" s="1">
      <c r="A1585" s="16" t="inlineStr">
        <is>
          <t>21772</t>
        </is>
      </c>
      <c r="B1585" s="17" t="inlineStr">
        <is>
          <t>Sinoz Kozmetik</t>
        </is>
      </c>
      <c r="C1585" s="16" t="inlineStr">
        <is>
          <t>8681925607257</t>
        </is>
      </c>
      <c r="D1585" s="17" t="inlineStr">
        <is>
          <t>Sinoz Cehrayi Ton Gunes Kremi Qati SPF 50+ 50ml</t>
        </is>
      </c>
      <c r="E1585" s="18" t="n">
        <v>11.65</v>
      </c>
      <c r="F1585" s="18" t="n">
        <v>24</v>
      </c>
      <c r="G1585" s="18" t="n">
        <v>67</v>
      </c>
      <c r="H1585" s="18" t="n">
        <v>66</v>
      </c>
      <c r="I1585" s="18" t="n">
        <v>1</v>
      </c>
      <c r="J1585" s="18" t="n"/>
      <c r="K1585" s="19">
        <f>H1585+I1585+J1585</f>
        <v/>
      </c>
      <c r="L1585" s="19">
        <f>K1585-G1585</f>
        <v/>
      </c>
      <c r="M1585" s="20">
        <f>L1585*E1585</f>
        <v/>
      </c>
      <c r="N1585" s="20" t="n">
        <v>50</v>
      </c>
      <c r="O1585" s="20" t="n"/>
      <c r="P1585" s="20">
        <f>O1585-N1585</f>
        <v/>
      </c>
      <c r="Q1585" s="20">
        <f>P1585*E1585</f>
        <v/>
      </c>
      <c r="R1585" s="20" t="n"/>
    </row>
    <row r="1586" ht="20" customHeight="1" s="1">
      <c r="A1586" s="21" t="inlineStr">
        <is>
          <t>21773</t>
        </is>
      </c>
      <c r="B1586" s="22" t="inlineStr">
        <is>
          <t>Sinoz Kozmetik</t>
        </is>
      </c>
      <c r="C1586" s="21" t="inlineStr">
        <is>
          <t>8681925605666</t>
        </is>
      </c>
      <c r="D1586" s="22" t="inlineStr">
        <is>
          <t>Sinoz Lekelere Qarsi Gunes Kremi Qati SPF 50+ 50ml</t>
        </is>
      </c>
      <c r="E1586" s="23" t="n">
        <v>10.45</v>
      </c>
      <c r="F1586" s="23" t="n">
        <v>24</v>
      </c>
      <c r="G1586" s="23" t="n">
        <v>66</v>
      </c>
      <c r="H1586" s="23" t="n">
        <v>66</v>
      </c>
      <c r="I1586" s="23" t="n"/>
      <c r="J1586" s="23" t="n"/>
      <c r="K1586" s="19">
        <f>H1586+I1586+J1586</f>
        <v/>
      </c>
      <c r="L1586" s="19">
        <f>K1586-G1586</f>
        <v/>
      </c>
      <c r="M1586" s="20">
        <f>L1586*E1586</f>
        <v/>
      </c>
      <c r="N1586" s="20" t="n">
        <v>50</v>
      </c>
      <c r="O1586" s="20" t="n"/>
      <c r="P1586" s="20">
        <f>O1586-N1586</f>
        <v/>
      </c>
      <c r="Q1586" s="20">
        <f>P1586*E1586</f>
        <v/>
      </c>
      <c r="R1586" s="20" t="n"/>
    </row>
    <row r="1587" ht="20" customHeight="1" s="1">
      <c r="A1587" s="16" t="inlineStr">
        <is>
          <t>21766</t>
        </is>
      </c>
      <c r="B1587" s="17" t="inlineStr">
        <is>
          <t>Sinoz Kozmetik</t>
        </is>
      </c>
      <c r="C1587" s="16" t="inlineStr">
        <is>
          <t>8681925608537</t>
        </is>
      </c>
      <c r="D1587" s="17" t="inlineStr">
        <is>
          <t>Sinoz Gundelik Gunes Kremi Maye Halda SPF 50+ 50ml</t>
        </is>
      </c>
      <c r="E1587" s="18" t="n">
        <v>18.9</v>
      </c>
      <c r="F1587" s="18" t="n">
        <v>24</v>
      </c>
      <c r="G1587" s="18" t="n">
        <v>40</v>
      </c>
      <c r="H1587" s="18" t="n">
        <v>40</v>
      </c>
      <c r="I1587" s="18" t="n"/>
      <c r="J1587" s="18" t="n"/>
      <c r="K1587" s="19">
        <f>H1587+I1587+J1587</f>
        <v/>
      </c>
      <c r="L1587" s="19">
        <f>K1587-G1587</f>
        <v/>
      </c>
      <c r="M1587" s="20">
        <f>L1587*E1587</f>
        <v/>
      </c>
      <c r="N1587" s="20" t="n">
        <v>50</v>
      </c>
      <c r="O1587" s="20" t="n"/>
      <c r="P1587" s="20">
        <f>O1587-N1587</f>
        <v/>
      </c>
      <c r="Q1587" s="20">
        <f>P1587*E1587</f>
        <v/>
      </c>
      <c r="R1587" s="20" t="n"/>
    </row>
    <row r="1588" ht="20" customHeight="1" s="1">
      <c r="A1588" s="21" t="inlineStr">
        <is>
          <t>21768</t>
        </is>
      </c>
      <c r="B1588" s="22" t="inlineStr">
        <is>
          <t>Sinoz Kozmetik</t>
        </is>
      </c>
      <c r="C1588" s="21" t="inlineStr">
        <is>
          <t>8681925608568</t>
        </is>
      </c>
      <c r="D1588" s="22" t="inlineStr">
        <is>
          <t>Sinoz Cehrayi Ton Gunes Kremi Maye Halda SPF 50+ 50ml</t>
        </is>
      </c>
      <c r="E1588" s="23" t="n">
        <v>18.9</v>
      </c>
      <c r="F1588" s="23" t="n">
        <v>24</v>
      </c>
      <c r="G1588" s="23" t="n">
        <v>38</v>
      </c>
      <c r="H1588" s="23" t="n">
        <v>38</v>
      </c>
      <c r="I1588" s="23" t="n"/>
      <c r="J1588" s="23" t="n"/>
      <c r="K1588" s="19">
        <f>H1588+I1588+J1588</f>
        <v/>
      </c>
      <c r="L1588" s="19">
        <f>K1588-G1588</f>
        <v/>
      </c>
      <c r="M1588" s="20">
        <f>L1588*E1588</f>
        <v/>
      </c>
      <c r="N1588" s="20" t="n">
        <v>50</v>
      </c>
      <c r="O1588" s="20" t="n"/>
      <c r="P1588" s="20">
        <f>O1588-N1588</f>
        <v/>
      </c>
      <c r="Q1588" s="20">
        <f>P1588*E1588</f>
        <v/>
      </c>
      <c r="R1588" s="20" t="n"/>
    </row>
    <row r="1589" ht="20" customHeight="1" s="1">
      <c r="A1589" s="16" t="inlineStr">
        <is>
          <t>21767</t>
        </is>
      </c>
      <c r="B1589" s="17" t="inlineStr">
        <is>
          <t>Sinoz Kozmetik</t>
        </is>
      </c>
      <c r="C1589" s="16" t="inlineStr">
        <is>
          <t>8681925608551</t>
        </is>
      </c>
      <c r="D1589" s="17" t="inlineStr">
        <is>
          <t>Sinoz Yagli Deri Ucun Gunes Kremi Maye Halda SPF 50+ 50ml</t>
        </is>
      </c>
      <c r="E1589" s="18" t="n">
        <v>18.9</v>
      </c>
      <c r="F1589" s="18" t="n">
        <v>24</v>
      </c>
      <c r="G1589" s="18" t="n">
        <v>29</v>
      </c>
      <c r="H1589" s="18" t="n">
        <v>29</v>
      </c>
      <c r="I1589" s="18" t="n"/>
      <c r="J1589" s="18" t="n"/>
      <c r="K1589" s="19">
        <f>H1589+I1589+J1589</f>
        <v/>
      </c>
      <c r="L1589" s="19">
        <f>K1589-G1589</f>
        <v/>
      </c>
      <c r="M1589" s="20">
        <f>L1589*E1589</f>
        <v/>
      </c>
      <c r="N1589" s="20" t="n">
        <v>50</v>
      </c>
      <c r="O1589" s="20" t="n"/>
      <c r="P1589" s="20">
        <f>O1589-N1589</f>
        <v/>
      </c>
      <c r="Q1589" s="20">
        <f>P1589*E1589</f>
        <v/>
      </c>
      <c r="R1589" s="20" t="n"/>
    </row>
    <row r="1590" ht="20" customHeight="1" s="1">
      <c r="A1590" s="21" t="inlineStr">
        <is>
          <t>21770</t>
        </is>
      </c>
      <c r="B1590" s="22" t="inlineStr">
        <is>
          <t>Sinoz Kozmetik</t>
        </is>
      </c>
      <c r="C1590" s="21" t="inlineStr">
        <is>
          <t>8681925608544</t>
        </is>
      </c>
      <c r="D1590" s="22" t="inlineStr">
        <is>
          <t>Sinoz Lekelere Qarsi Gunes Kremi Maye Halda SPF 50+ 50ml</t>
        </is>
      </c>
      <c r="E1590" s="23" t="n">
        <v>18.9</v>
      </c>
      <c r="F1590" s="23" t="n">
        <v>24</v>
      </c>
      <c r="G1590" s="23" t="n">
        <v>60</v>
      </c>
      <c r="H1590" s="23" t="n">
        <v>60</v>
      </c>
      <c r="I1590" s="23" t="n"/>
      <c r="J1590" s="23" t="n"/>
      <c r="K1590" s="19">
        <f>H1590+I1590+J1590</f>
        <v/>
      </c>
      <c r="L1590" s="19">
        <f>K1590-G1590</f>
        <v/>
      </c>
      <c r="M1590" s="20">
        <f>L1590*E1590</f>
        <v/>
      </c>
      <c r="N1590" s="20" t="n">
        <v>50</v>
      </c>
      <c r="O1590" s="20" t="n"/>
      <c r="P1590" s="20">
        <f>O1590-N1590</f>
        <v/>
      </c>
      <c r="Q1590" s="20">
        <f>P1590*E1590</f>
        <v/>
      </c>
      <c r="R1590" s="20" t="n"/>
    </row>
    <row r="1591" ht="20" customHeight="1" s="1">
      <c r="A1591" s="16" t="inlineStr">
        <is>
          <t>21769</t>
        </is>
      </c>
      <c r="B1591" s="17" t="inlineStr">
        <is>
          <t>Sinoz Kozmetik</t>
        </is>
      </c>
      <c r="C1591" s="16" t="inlineStr">
        <is>
          <t>8681925608797</t>
        </is>
      </c>
      <c r="D1591" s="17" t="inlineStr">
        <is>
          <t>Sinoz Pure Cica Ton Beraber.Gunes Kremi Maye SPF 50+ 50ml</t>
        </is>
      </c>
      <c r="E1591" s="18" t="n">
        <v>23.8</v>
      </c>
      <c r="F1591" s="18" t="n">
        <v>24</v>
      </c>
      <c r="G1591" s="18" t="n">
        <v>33</v>
      </c>
      <c r="H1591" s="18" t="n">
        <v>33</v>
      </c>
      <c r="I1591" s="18" t="n"/>
      <c r="J1591" s="18" t="n"/>
      <c r="K1591" s="19">
        <f>H1591+I1591+J1591</f>
        <v/>
      </c>
      <c r="L1591" s="19">
        <f>K1591-G1591</f>
        <v/>
      </c>
      <c r="M1591" s="20">
        <f>L1591*E1591</f>
        <v/>
      </c>
      <c r="N1591" s="20" t="n">
        <v>50</v>
      </c>
      <c r="O1591" s="20" t="n"/>
      <c r="P1591" s="20">
        <f>O1591-N1591</f>
        <v/>
      </c>
      <c r="Q1591" s="20">
        <f>P1591*E1591</f>
        <v/>
      </c>
      <c r="R1591" s="20" t="n"/>
    </row>
    <row r="1592" ht="20" customHeight="1" s="1">
      <c r="A1592" s="21" t="inlineStr">
        <is>
          <t>21771</t>
        </is>
      </c>
      <c r="B1592" s="22" t="inlineStr">
        <is>
          <t>Sinoz Kozmetik</t>
        </is>
      </c>
      <c r="C1592" s="21" t="inlineStr">
        <is>
          <t>8681925608575</t>
        </is>
      </c>
      <c r="D1592" s="22" t="inlineStr">
        <is>
          <t>Sinoz Tonlasdirici Gunes Kremi Maye Halda SPF 50+ 50ml</t>
        </is>
      </c>
      <c r="E1592" s="23" t="n">
        <v>18.95</v>
      </c>
      <c r="F1592" s="23" t="n">
        <v>24</v>
      </c>
      <c r="G1592" s="23" t="n">
        <v>9</v>
      </c>
      <c r="H1592" s="23" t="n">
        <v>9</v>
      </c>
      <c r="I1592" s="23" t="n"/>
      <c r="J1592" s="23" t="n"/>
      <c r="K1592" s="19">
        <f>H1592+I1592+J1592</f>
        <v/>
      </c>
      <c r="L1592" s="19">
        <f>K1592-G1592</f>
        <v/>
      </c>
      <c r="M1592" s="20">
        <f>L1592*E1592</f>
        <v/>
      </c>
      <c r="N1592" s="20" t="n">
        <v>50</v>
      </c>
      <c r="O1592" s="20" t="n"/>
      <c r="P1592" s="20">
        <f>O1592-N1592</f>
        <v/>
      </c>
      <c r="Q1592" s="20">
        <f>P1592*E1592</f>
        <v/>
      </c>
      <c r="R1592" s="20" t="n"/>
    </row>
    <row r="1593" ht="20" customHeight="1" s="1">
      <c r="A1593" s="16" t="inlineStr">
        <is>
          <t>21932</t>
        </is>
      </c>
      <c r="B1593" s="17" t="inlineStr">
        <is>
          <t>Sinoz Kozmetik</t>
        </is>
      </c>
      <c r="C1593" s="16" t="inlineStr">
        <is>
          <t>8681925609282</t>
        </is>
      </c>
      <c r="D1593" s="17" t="inlineStr">
        <is>
          <t>Sinoz Cehrayi Reng Beraberlesdirici Gunes Kremi SPF 50+ 50ml</t>
        </is>
      </c>
      <c r="E1593" s="18" t="n">
        <v>22.95</v>
      </c>
      <c r="F1593" s="18" t="n">
        <v>24</v>
      </c>
      <c r="G1593" s="18" t="n">
        <v>22</v>
      </c>
      <c r="H1593" s="18" t="n">
        <v>22</v>
      </c>
      <c r="I1593" s="18" t="n"/>
      <c r="J1593" s="18" t="n"/>
      <c r="K1593" s="19">
        <f>H1593+I1593+J1593</f>
        <v/>
      </c>
      <c r="L1593" s="19">
        <f>K1593-G1593</f>
        <v/>
      </c>
      <c r="M1593" s="20">
        <f>L1593*E1593</f>
        <v/>
      </c>
      <c r="N1593" s="20" t="n">
        <v>50</v>
      </c>
      <c r="O1593" s="20" t="n"/>
      <c r="P1593" s="20">
        <f>O1593-N1593</f>
        <v/>
      </c>
      <c r="Q1593" s="20">
        <f>P1593*E1593</f>
        <v/>
      </c>
      <c r="R1593" s="20" t="n"/>
    </row>
    <row r="1594" ht="20" customHeight="1" s="1">
      <c r="A1594" s="21" t="inlineStr">
        <is>
          <t>21933</t>
        </is>
      </c>
      <c r="B1594" s="22" t="inlineStr">
        <is>
          <t>Sinoz Kozmetik</t>
        </is>
      </c>
      <c r="C1594" s="21" t="inlineStr">
        <is>
          <t>8681925609176</t>
        </is>
      </c>
      <c r="D1594" s="22" t="inlineStr">
        <is>
          <t>Sinoz Hydrapro Intensiv Dodaq Qulluq Balm 10qr</t>
        </is>
      </c>
      <c r="E1594" s="23" t="n">
        <v>9.1</v>
      </c>
      <c r="F1594" s="23" t="n">
        <v>24</v>
      </c>
      <c r="G1594" s="23" t="n">
        <v>48</v>
      </c>
      <c r="H1594" s="23" t="n">
        <v>48</v>
      </c>
      <c r="I1594" s="23" t="n"/>
      <c r="J1594" s="23" t="n"/>
      <c r="K1594" s="19">
        <f>H1594+I1594+J1594</f>
        <v/>
      </c>
      <c r="L1594" s="19">
        <f>K1594-G1594</f>
        <v/>
      </c>
      <c r="M1594" s="20">
        <f>L1594*E1594</f>
        <v/>
      </c>
      <c r="N1594" s="20" t="n">
        <v>50</v>
      </c>
      <c r="O1594" s="20" t="n"/>
      <c r="P1594" s="20">
        <f>O1594-N1594</f>
        <v/>
      </c>
      <c r="Q1594" s="20">
        <f>P1594*E1594</f>
        <v/>
      </c>
      <c r="R1594" s="20" t="n"/>
    </row>
    <row r="1595" ht="20" customHeight="1" s="1">
      <c r="A1595" s="16" t="inlineStr">
        <is>
          <t>21807</t>
        </is>
      </c>
      <c r="B1595" s="17" t="inlineStr">
        <is>
          <t>Sinoz Kozmetik</t>
        </is>
      </c>
      <c r="C1595" s="16" t="inlineStr">
        <is>
          <t>8682974924920</t>
        </is>
      </c>
      <c r="D1595" s="17" t="inlineStr">
        <is>
          <t>The Bath Factory Sweet Vanilla El Isi Sabun 80qr</t>
        </is>
      </c>
      <c r="E1595" s="18" t="n">
        <v>5.5</v>
      </c>
      <c r="F1595" s="18" t="n">
        <v>24</v>
      </c>
      <c r="G1595" s="18" t="n">
        <v>39</v>
      </c>
      <c r="H1595" s="18" t="n">
        <v>39</v>
      </c>
      <c r="I1595" s="18" t="n"/>
      <c r="J1595" s="18" t="n"/>
      <c r="K1595" s="19">
        <f>H1595+I1595+J1595</f>
        <v/>
      </c>
      <c r="L1595" s="19">
        <f>K1595-G1595</f>
        <v/>
      </c>
      <c r="M1595" s="20">
        <f>L1595*E1595</f>
        <v/>
      </c>
      <c r="N1595" s="20" t="n">
        <v>50</v>
      </c>
      <c r="O1595" s="20" t="n"/>
      <c r="P1595" s="20">
        <f>O1595-N1595</f>
        <v/>
      </c>
      <c r="Q1595" s="20">
        <f>P1595*E1595</f>
        <v/>
      </c>
      <c r="R1595" s="20" t="n"/>
    </row>
    <row r="1596" ht="20" customHeight="1" s="1">
      <c r="A1596" s="21" t="inlineStr">
        <is>
          <t>21805</t>
        </is>
      </c>
      <c r="B1596" s="22" t="inlineStr">
        <is>
          <t>Sinoz Kozmetik</t>
        </is>
      </c>
      <c r="C1596" s="21" t="inlineStr">
        <is>
          <t>8682974924913</t>
        </is>
      </c>
      <c r="D1596" s="22" t="inlineStr">
        <is>
          <t>The Bath Factory Gold Aura El Isi Sabun 80qr</t>
        </is>
      </c>
      <c r="E1596" s="23" t="n">
        <v>5.5</v>
      </c>
      <c r="F1596" s="23" t="n">
        <v>24</v>
      </c>
      <c r="G1596" s="23" t="n">
        <v>21</v>
      </c>
      <c r="H1596" s="23" t="n">
        <v>21</v>
      </c>
      <c r="I1596" s="23" t="n"/>
      <c r="J1596" s="23" t="n"/>
      <c r="K1596" s="19">
        <f>H1596+I1596+J1596</f>
        <v/>
      </c>
      <c r="L1596" s="19">
        <f>K1596-G1596</f>
        <v/>
      </c>
      <c r="M1596" s="20">
        <f>L1596*E1596</f>
        <v/>
      </c>
      <c r="N1596" s="20" t="n">
        <v>50</v>
      </c>
      <c r="O1596" s="20" t="n"/>
      <c r="P1596" s="20">
        <f>O1596-N1596</f>
        <v/>
      </c>
      <c r="Q1596" s="20">
        <f>P1596*E1596</f>
        <v/>
      </c>
      <c r="R1596" s="20" t="n"/>
    </row>
    <row r="1597" ht="20" customHeight="1" s="1">
      <c r="A1597" s="16" t="inlineStr">
        <is>
          <t>21806</t>
        </is>
      </c>
      <c r="B1597" s="17" t="inlineStr">
        <is>
          <t>Sinoz Kozmetik</t>
        </is>
      </c>
      <c r="C1597" s="16" t="inlineStr">
        <is>
          <t>8682974924890</t>
        </is>
      </c>
      <c r="D1597" s="17" t="inlineStr">
        <is>
          <t>The Bath Factory Strawberry Passion El Isi Sabun 80qr</t>
        </is>
      </c>
      <c r="E1597" s="18" t="n">
        <v>5.5</v>
      </c>
      <c r="F1597" s="18" t="n">
        <v>24</v>
      </c>
      <c r="G1597" s="18" t="n">
        <v>21</v>
      </c>
      <c r="H1597" s="18" t="n">
        <v>21</v>
      </c>
      <c r="I1597" s="18" t="n"/>
      <c r="J1597" s="18" t="n"/>
      <c r="K1597" s="19">
        <f>H1597+I1597+J1597</f>
        <v/>
      </c>
      <c r="L1597" s="19">
        <f>K1597-G1597</f>
        <v/>
      </c>
      <c r="M1597" s="20">
        <f>L1597*E1597</f>
        <v/>
      </c>
      <c r="N1597" s="20" t="n">
        <v>50</v>
      </c>
      <c r="O1597" s="20" t="n"/>
      <c r="P1597" s="20">
        <f>O1597-N1597</f>
        <v/>
      </c>
      <c r="Q1597" s="20">
        <f>P1597*E1597</f>
        <v/>
      </c>
      <c r="R1597" s="20" t="n"/>
    </row>
    <row r="1598" ht="20" customHeight="1" s="1">
      <c r="A1598" s="21" t="inlineStr">
        <is>
          <t>21808</t>
        </is>
      </c>
      <c r="B1598" s="22" t="inlineStr">
        <is>
          <t>Sinoz Kozmetik</t>
        </is>
      </c>
      <c r="C1598" s="21" t="inlineStr">
        <is>
          <t>8682974924906</t>
        </is>
      </c>
      <c r="D1598" s="22" t="inlineStr">
        <is>
          <t>The Bath Factory Banana Split El Isi Sabun 80qr</t>
        </is>
      </c>
      <c r="E1598" s="23" t="n">
        <v>5.5</v>
      </c>
      <c r="F1598" s="23" t="n">
        <v>24</v>
      </c>
      <c r="G1598" s="23" t="n">
        <v>22</v>
      </c>
      <c r="H1598" s="23" t="n">
        <v>22</v>
      </c>
      <c r="I1598" s="23" t="n"/>
      <c r="J1598" s="23" t="n"/>
      <c r="K1598" s="19">
        <f>H1598+I1598+J1598</f>
        <v/>
      </c>
      <c r="L1598" s="19">
        <f>K1598-G1598</f>
        <v/>
      </c>
      <c r="M1598" s="20">
        <f>L1598*E1598</f>
        <v/>
      </c>
      <c r="N1598" s="20" t="n">
        <v>50</v>
      </c>
      <c r="O1598" s="20" t="n"/>
      <c r="P1598" s="20">
        <f>O1598-N1598</f>
        <v/>
      </c>
      <c r="Q1598" s="20">
        <f>P1598*E1598</f>
        <v/>
      </c>
      <c r="R1598" s="20" t="n"/>
    </row>
    <row r="1599" ht="24" customHeight="1" s="1">
      <c r="A1599" s="27" t="n"/>
      <c r="B1599" s="28" t="inlineStr">
        <is>
          <t>YEKUN CƏMİ:</t>
        </is>
      </c>
      <c r="C1599" s="27" t="n"/>
      <c r="D1599" s="27" t="n"/>
      <c r="E1599" s="27" t="n"/>
      <c r="F1599" s="27" t="n"/>
      <c r="G1599" s="27" t="n"/>
      <c r="H1599" s="27" t="n"/>
      <c r="I1599" s="27" t="n"/>
      <c r="J1599" s="27" t="n"/>
      <c r="K1599" s="27" t="n"/>
      <c r="L1599" s="27" t="n"/>
      <c r="M1599" s="27" t="n"/>
      <c r="N1599" s="27" t="n"/>
      <c r="O1599" s="29">
        <f>SUM(O2:O1598)</f>
        <v/>
      </c>
      <c r="P1599" s="29">
        <f>SUM(P2:P1598)</f>
        <v/>
      </c>
      <c r="Q1599" s="29">
        <f>SUM(Q2:Q1598)</f>
        <v/>
      </c>
      <c r="R1599" s="27" t="n"/>
    </row>
  </sheetData>
  <autoFilter ref="A1:R1598"/>
  <pageMargins left="0" right="0" top="0" bottom="0" header="0" footer="0"/>
  <pageSetup orientation="landscape" paperSize="9" fitToHeight="0" fitToWidth="0" firstPageNumber="0" useFirstPageNumber="1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Orxan</dc:creator>
  <dcterms:created xsi:type="dcterms:W3CDTF">2025-11-26T12:59:46Z</dcterms:created>
  <dcterms:modified xsi:type="dcterms:W3CDTF">2026-05-27T06:54:27Z</dcterms:modified>
  <cp:lastModifiedBy>Hp</cp:lastModifiedBy>
  <cp:lastPrinted>2025-09-01T06:14:03Z</cp:lastPrinted>
</cp:coreProperties>
</file>